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nleitung" sheetId="1" state="visible" r:id="rId3"/>
    <sheet name="Verkaeufe" sheetId="2" state="visible" r:id="rId4"/>
    <sheet name="Kosten_3D" sheetId="3" state="visible" r:id="rId5"/>
    <sheet name="Kalkulation_Teil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<sst xmlns="http://schemas.openxmlformats.org/spreadsheetml/2006/main" count="75" uniqueCount="73">
  <si>
    <t xml:space="preserve">KERNX BAU UG — Anleitung</t>
  </si>
  <si>
    <t xml:space="preserve">Gelb hinterlegte Zellen ausfuellen. Weisse Zellen rechnen sich selbst.</t>
  </si>
  <si>
    <t xml:space="preserve">Warum der 3D-Bereich eine eigene Datei bekommt:</t>
  </si>
  <si>
    <t xml:space="preserve">• Er ist eine eigene Kostenstelle (3D-ALLG und 3D-ETSY) und muss getrennt auswertbar sein.</t>
  </si>
  <si>
    <t xml:space="preserve">• Das Finanzamt und die Handwerkskammer sehen ihn als eigenen Taetigkeitsbereich.</t>
  </si>
  <si>
    <t xml:space="preserve">• Nur getrennt laesst sich zeigen, ob der Bereich Geld verdient oder nur Geld kostet.</t>
  </si>
  <si>
    <t xml:space="preserve">Die drei Blaetter:</t>
  </si>
  <si>
    <t xml:space="preserve">• Verkaeufe — jeder Verkauf einzeln, mit Etsy-Gebuehren und Deckungsbeitrag je Stueck.</t>
  </si>
  <si>
    <t xml:space="preserve">• Kosten_3D — Filament, Ersatzteile, Verpackung, Gebuehren. Spalte 'Bezahlt von' ist wichtig:</t>
  </si>
  <si>
    <t xml:space="preserve">  'privat' bedeutet Auslage des Gesellschafters und muss ueber das Verrechnungskonto zurueck.</t>
  </si>
  <si>
    <t xml:space="preserve">• Kalkulation_Teil — was ein Druck wirklich kostet, bevor ein Preis im Shop steht.</t>
  </si>
  <si>
    <t xml:space="preserve">Umsatzsteuer bei Etsy — bitte mit dem Steuerberater klaeren:</t>
  </si>
  <si>
    <t xml:space="preserve">• Etsy ist ein Marktplatz. Bei Verkaeufen an Privatpersonen in anderen EU-Laendern greifen die</t>
  </si>
  <si>
    <t xml:space="preserve">  Fernverkaufsregeln (§ 3c UStG) und ab 10.000 EUR Jahresumsatz das OSS-Verfahren.</t>
  </si>
  <si>
    <t xml:space="preserve">• Solange keine Steuernummer und keine USt-IdNr. vorliegen, ist die Behandlung ungeklaert.</t>
  </si>
  <si>
    <t xml:space="preserve">• Die Etsy-Gebuehrenabrechnung ist eine Leistung aus Irland — Reverse Charge nach § 13b UStG.</t>
  </si>
  <si>
    <t xml:space="preserve">Ablage der Belege: 05_Finanzen_Buchhaltung/Belegablage_2026/11_3D_DRUCK/</t>
  </si>
  <si>
    <t xml:space="preserve">Farblegende</t>
  </si>
  <si>
    <t xml:space="preserve">Gelb  —  hier eintragen</t>
  </si>
  <si>
    <t xml:space="preserve">Gruen  —  in Ordnung / gueltig</t>
  </si>
  <si>
    <t xml:space="preserve">Orange  —  laeuft in 30 Tagen ab / bald faellig</t>
  </si>
  <si>
    <t xml:space="preserve">Rot  —  fehlt, abgelaufen oder ueberfaellig — sofort handeln</t>
  </si>
  <si>
    <t xml:space="preserve">3D-Verkäufe — Etsy und Direkt</t>
  </si>
  <si>
    <t xml:space="preserve">Umsatz brutto:</t>
  </si>
  <si>
    <t xml:space="preserve">Gebuehren:</t>
  </si>
  <si>
    <t xml:space="preserve">Deckungsbeitrag:</t>
  </si>
  <si>
    <t xml:space="preserve">Stueck:</t>
  </si>
  <si>
    <t xml:space="preserve">Verkaufs-Nr.</t>
  </si>
  <si>
    <t xml:space="preserve">Datum</t>
  </si>
  <si>
    <t xml:space="preserve">Kanal</t>
  </si>
  <si>
    <t xml:space="preserve">Bestell-Nr. Etsy</t>
  </si>
  <si>
    <t xml:space="preserve">Produkt</t>
  </si>
  <si>
    <t xml:space="preserve">Land Käufer</t>
  </si>
  <si>
    <t xml:space="preserve">Menge</t>
  </si>
  <si>
    <t xml:space="preserve">Verkaufspreis brutto</t>
  </si>
  <si>
    <t xml:space="preserve">Versand berechnet</t>
  </si>
  <si>
    <t xml:space="preserve">Etsy-Gebuehren</t>
  </si>
  <si>
    <t xml:space="preserve">Zahlungsgebuehr</t>
  </si>
  <si>
    <t xml:space="preserve">Erloes netto</t>
  </si>
  <si>
    <t xml:space="preserve">Material EUR</t>
  </si>
  <si>
    <t xml:space="preserve">Versandkosten Ist</t>
  </si>
  <si>
    <t xml:space="preserve">Deckungsbeitrag</t>
  </si>
  <si>
    <t xml:space="preserve">DB %</t>
  </si>
  <si>
    <t xml:space="preserve">Kosten des Geschäftsbereichs 3D</t>
  </si>
  <si>
    <t xml:space="preserve">Nur was zum 3D-Druck gehört. Kostenstelle 3D-ALLG bzw. 3D-ETSY.</t>
  </si>
  <si>
    <t xml:space="preserve">Beleg-Nr.</t>
  </si>
  <si>
    <t xml:space="preserve">Lieferant</t>
  </si>
  <si>
    <t xml:space="preserve">Was</t>
  </si>
  <si>
    <t xml:space="preserve">Kostenart</t>
  </si>
  <si>
    <t xml:space="preserve">Kostenstelle</t>
  </si>
  <si>
    <t xml:space="preserve">Netto EUR</t>
  </si>
  <si>
    <t xml:space="preserve">USt EUR</t>
  </si>
  <si>
    <t xml:space="preserve">Brutto EUR</t>
  </si>
  <si>
    <t xml:space="preserve">Bezahlt von</t>
  </si>
  <si>
    <t xml:space="preserve">Beleg vorhanden</t>
  </si>
  <si>
    <t xml:space="preserve">Pruefung</t>
  </si>
  <si>
    <t xml:space="preserve">Kalkulation je Teil</t>
  </si>
  <si>
    <t xml:space="preserve">Annahmen:</t>
  </si>
  <si>
    <t xml:space="preserve">Maschinenstundensatz 1,20 EUR/h und Arbeitszeit 25,00 EUR/h sind Startwerte — in den gelben Zellen je Teil anpassbar.</t>
  </si>
  <si>
    <t xml:space="preserve">Material</t>
  </si>
  <si>
    <t xml:space="preserve">Gewicht g</t>
  </si>
  <si>
    <t xml:space="preserve">Preis je kg</t>
  </si>
  <si>
    <t xml:space="preserve">Materialkosten</t>
  </si>
  <si>
    <t xml:space="preserve">Druckzeit h</t>
  </si>
  <si>
    <t xml:space="preserve">Maschinenstundensatz</t>
  </si>
  <si>
    <t xml:space="preserve">Maschinenkosten</t>
  </si>
  <si>
    <t xml:space="preserve">Nacharbeit min</t>
  </si>
  <si>
    <t xml:space="preserve">Stundensatz Arbeit</t>
  </si>
  <si>
    <t xml:space="preserve">Arbeitskosten</t>
  </si>
  <si>
    <t xml:space="preserve">Verpackung</t>
  </si>
  <si>
    <t xml:space="preserve">Selbstkosten</t>
  </si>
  <si>
    <t xml:space="preserve">Zuschlag %</t>
  </si>
  <si>
    <t xml:space="preserve">Mindestpreis netto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</si>
</sst>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#,##0.00&quot; EUR&quot;"/>
    <numFmt numFmtId="166" formatCode="General"/>
    <numFmt numFmtId="167" formatCode="dd\.mm\.yyyy"/>
    <numFmt numFmtId="168" formatCode="0.0%"/>
    <numFmt numFmtId="169" formatCode="0%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color rgb="FF12211C"/>
      <name val="Arial"/>
      <family val="0"/>
      <charset val="1"/>
    </font>
    <font>
      <i val="true"/>
      <sz val="9.5"/>
      <color rgb="FF5D6D7E"/>
      <name val="Arial"/>
      <family val="0"/>
      <charset val="1"/>
    </font>
    <font>
      <b val="true"/>
      <sz val="10.5"/>
      <name val="Arial"/>
      <family val="0"/>
      <charset val="1"/>
    </font>
    <font>
      <sz val="10.5"/>
      <name val="Arial"/>
      <family val="0"/>
      <charset val="1"/>
    </font>
    <font>
      <b val="true"/>
      <sz val="11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1"/>
      <color rgb="FFC0392B"/>
      <name val="Arial"/>
      <family val="0"/>
      <charset val="1"/>
    </font>
    <font>
      <b val="true"/>
      <sz val="10"/>
      <color rgb="FFFFFFFF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FFF6D5"/>
        <bgColor rgb="FFFDEBD0"/>
      </patternFill>
    </fill>
    <fill>
      <patternFill patternType="solid">
        <fgColor rgb="FFD6EFDD"/>
        <bgColor rgb="FFCCFFFF"/>
      </patternFill>
    </fill>
    <fill>
      <patternFill patternType="solid">
        <fgColor rgb="FFFDEBD0"/>
        <bgColor rgb="FFFFF6D5"/>
      </patternFill>
    </fill>
    <fill>
      <patternFill patternType="solid">
        <fgColor rgb="FFF9D7D4"/>
        <bgColor rgb="FFFDEBD0"/>
      </patternFill>
    </fill>
    <fill>
      <patternFill patternType="solid">
        <fgColor rgb="FF12211C"/>
        <bgColor rgb="FF33333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5D8DC"/>
      </left>
      <right style="thin">
        <color rgb="FFD5D8DC"/>
      </right>
      <top style="thin">
        <color rgb="FFD5D8DC"/>
      </top>
      <bottom style="thin">
        <color rgb="FFD5D8D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9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9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ont>
        <name val="Arial"/>
        <charset val="1"/>
        <family val="0"/>
        <b val="1"/>
        <color rgb="FFC0392B"/>
      </font>
      <fill>
        <patternFill>
          <bgColor rgb="FFF9D7D4"/>
        </patternFill>
      </fill>
    </dxf>
    <dxf>
      <font>
        <name val="Arial"/>
        <charset val="1"/>
        <family val="0"/>
        <color rgb="FFB9770E"/>
      </font>
      <fill>
        <patternFill>
          <bgColor rgb="FFFDEBD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B9770E"/>
      <rgbColor rgb="FF800080"/>
      <rgbColor rgb="FF008080"/>
      <rgbColor rgb="FFC0C0C0"/>
      <rgbColor rgb="FF808080"/>
      <rgbColor rgb="FF9999FF"/>
      <rgbColor rgb="FF993366"/>
      <rgbColor rgb="FFFFF6D5"/>
      <rgbColor rgb="FFCCFFFF"/>
      <rgbColor rgb="FF660066"/>
      <rgbColor rgb="FFFF8080"/>
      <rgbColor rgb="FF0066CC"/>
      <rgbColor rgb="FFD5D8D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6EFDD"/>
      <rgbColor rgb="FFFDEBD0"/>
      <rgbColor rgb="FF99CCFF"/>
      <rgbColor rgb="FFFF99CC"/>
      <rgbColor rgb="FFCC99FF"/>
      <rgbColor rgb="FFF9D7D4"/>
      <rgbColor rgb="FF3366FF"/>
      <rgbColor rgb="FF33CCCC"/>
      <rgbColor rgb="FF99CC00"/>
      <rgbColor rgb="FFFFCC00"/>
      <rgbColor rgb="FFFF9900"/>
      <rgbColor rgb="FFFF6600"/>
      <rgbColor rgb="FF5D6D7E"/>
      <rgbColor rgb="FF969696"/>
      <rgbColor rgb="FF003366"/>
      <rgbColor rgb="FF339966"/>
      <rgbColor rgb="FF12211C"/>
      <rgbColor rgb="FF333300"/>
      <rgbColor rgb="FFC0392B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108"/>
  </cols>
  <sheetData>
    <row r="1" customFormat="false" ht="21.75" hidden="false" customHeight="tru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.75" hidden="false" customHeight="true" outlineLevel="0" collapsed="false">
      <c r="B4" s="3" t="s">
        <v>2</v>
      </c>
    </row>
    <row r="5" customFormat="false" ht="15.75" hidden="false" customHeight="true" outlineLevel="0" collapsed="false">
      <c r="B5" s="4" t="s">
        <v>3</v>
      </c>
    </row>
    <row r="6" customFormat="false" ht="15.75" hidden="false" customHeight="true" outlineLevel="0" collapsed="false">
      <c r="B6" s="4" t="s">
        <v>4</v>
      </c>
    </row>
    <row r="7" customFormat="false" ht="15.75" hidden="false" customHeight="true" outlineLevel="0" collapsed="false">
      <c r="B7" s="4" t="s">
        <v>5</v>
      </c>
    </row>
    <row r="8" customFormat="false" ht="15.75" hidden="false" customHeight="true" outlineLevel="0" collapsed="false">
      <c r="B8" s="4"/>
    </row>
    <row r="9" customFormat="false" ht="15.75" hidden="false" customHeight="true" outlineLevel="0" collapsed="false">
      <c r="B9" s="3" t="s">
        <v>6</v>
      </c>
    </row>
    <row r="10" customFormat="false" ht="15.75" hidden="false" customHeight="true" outlineLevel="0" collapsed="false">
      <c r="B10" s="4" t="s">
        <v>7</v>
      </c>
    </row>
    <row r="11" customFormat="false" ht="15.75" hidden="false" customHeight="true" outlineLevel="0" collapsed="false">
      <c r="B11" s="4" t="s">
        <v>8</v>
      </c>
    </row>
    <row r="12" customFormat="false" ht="15.75" hidden="false" customHeight="true" outlineLevel="0" collapsed="false">
      <c r="B12" s="4" t="s">
        <v>9</v>
      </c>
    </row>
    <row r="13" customFormat="false" ht="15.75" hidden="false" customHeight="true" outlineLevel="0" collapsed="false">
      <c r="B13" s="4" t="s">
        <v>10</v>
      </c>
    </row>
    <row r="14" customFormat="false" ht="15.75" hidden="false" customHeight="true" outlineLevel="0" collapsed="false">
      <c r="B14" s="4"/>
    </row>
    <row r="15" customFormat="false" ht="15.75" hidden="false" customHeight="true" outlineLevel="0" collapsed="false">
      <c r="B15" s="3" t="s">
        <v>11</v>
      </c>
    </row>
    <row r="16" customFormat="false" ht="15.75" hidden="false" customHeight="true" outlineLevel="0" collapsed="false">
      <c r="B16" s="4" t="s">
        <v>12</v>
      </c>
    </row>
    <row r="17" customFormat="false" ht="15.75" hidden="false" customHeight="true" outlineLevel="0" collapsed="false">
      <c r="B17" s="4" t="s">
        <v>13</v>
      </c>
    </row>
    <row r="18" customFormat="false" ht="15.75" hidden="false" customHeight="true" outlineLevel="0" collapsed="false">
      <c r="B18" s="4" t="s">
        <v>14</v>
      </c>
    </row>
    <row r="19" customFormat="false" ht="15.75" hidden="false" customHeight="true" outlineLevel="0" collapsed="false">
      <c r="B19" s="4" t="s">
        <v>15</v>
      </c>
    </row>
    <row r="20" customFormat="false" ht="15.75" hidden="false" customHeight="true" outlineLevel="0" collapsed="false">
      <c r="B20" s="4"/>
    </row>
    <row r="21" customFormat="false" ht="15.75" hidden="false" customHeight="true" outlineLevel="0" collapsed="false">
      <c r="B21" s="4" t="s">
        <v>16</v>
      </c>
    </row>
    <row r="23" customFormat="false" ht="15" hidden="false" customHeight="false" outlineLevel="0" collapsed="false">
      <c r="B23" s="5" t="s">
        <v>17</v>
      </c>
    </row>
    <row r="24" customFormat="false" ht="15" hidden="false" customHeight="false" outlineLevel="0" collapsed="false">
      <c r="B24" s="6" t="s">
        <v>18</v>
      </c>
    </row>
    <row r="25" customFormat="false" ht="15" hidden="false" customHeight="false" outlineLevel="0" collapsed="false">
      <c r="B25" s="7" t="s">
        <v>19</v>
      </c>
    </row>
    <row r="26" customFormat="false" ht="15" hidden="false" customHeight="false" outlineLevel="0" collapsed="false">
      <c r="B26" s="8" t="s">
        <v>20</v>
      </c>
    </row>
    <row r="27" customFormat="false" ht="15" hidden="false" customHeight="false" outlineLevel="0" collapsed="false">
      <c r="B27" s="9" t="s">
        <v>21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20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12"/>
    <col collapsed="false" customWidth="true" hidden="false" outlineLevel="0" max="3" min="3" style="0" width="13"/>
    <col collapsed="false" customWidth="true" hidden="false" outlineLevel="0" max="4" min="4" style="0" width="18"/>
    <col collapsed="false" customWidth="true" hidden="false" outlineLevel="0" max="5" min="5" style="0" width="26"/>
    <col collapsed="false" customWidth="true" hidden="false" outlineLevel="0" max="6" min="6" style="0" width="13"/>
    <col collapsed="false" customWidth="true" hidden="false" outlineLevel="0" max="7" min="7" style="0" width="8"/>
    <col collapsed="false" customWidth="true" hidden="false" outlineLevel="0" max="8" min="8" style="0" width="17"/>
    <col collapsed="false" customWidth="true" hidden="false" outlineLevel="0" max="9" min="9" style="0" width="15"/>
    <col collapsed="false" customWidth="true" hidden="false" outlineLevel="0" max="12" min="10" style="0" width="14"/>
    <col collapsed="false" customWidth="true" hidden="false" outlineLevel="0" max="13" min="13" style="0" width="13"/>
    <col collapsed="false" customWidth="true" hidden="false" outlineLevel="0" max="15" min="14" style="0" width="15"/>
    <col collapsed="false" customWidth="true" hidden="false" outlineLevel="0" max="16" min="16" style="0" width="9"/>
  </cols>
  <sheetData>
    <row r="1" customFormat="false" ht="21.75" hidden="false" customHeight="true" outlineLevel="0" collapsed="false">
      <c r="A1" s="1" t="s">
        <v>22</v>
      </c>
    </row>
    <row r="2" customFormat="false" ht="15" hidden="false" customHeight="false" outlineLevel="0" collapsed="false">
      <c r="A2" s="10" t="s">
        <v>23</v>
      </c>
      <c r="B2" s="11" t="n">
        <f aca="false">SUM(H5:H204)</f>
        <v>0</v>
      </c>
      <c r="C2" s="10" t="s">
        <v>24</v>
      </c>
      <c r="D2" s="12" t="n">
        <f aca="false">SUM(J5:J204)+SUM(K5:K204)</f>
        <v>0</v>
      </c>
      <c r="E2" s="10" t="s">
        <v>25</v>
      </c>
      <c r="F2" s="11" t="n">
        <f aca="false">SUM(O5:O204)</f>
        <v>0</v>
      </c>
      <c r="G2" s="10" t="s">
        <v>26</v>
      </c>
      <c r="H2" s="13" t="n">
        <f aca="false">SUM(G5:G204)</f>
        <v>0</v>
      </c>
    </row>
    <row r="4" customFormat="false" ht="30" hidden="false" customHeight="true" outlineLevel="0" collapsed="false">
      <c r="A4" s="14" t="s">
        <v>27</v>
      </c>
      <c r="B4" s="14" t="s">
        <v>28</v>
      </c>
      <c r="C4" s="14" t="s">
        <v>29</v>
      </c>
      <c r="D4" s="14" t="s">
        <v>30</v>
      </c>
      <c r="E4" s="14" t="s">
        <v>31</v>
      </c>
      <c r="F4" s="14" t="s">
        <v>32</v>
      </c>
      <c r="G4" s="14" t="s">
        <v>33</v>
      </c>
      <c r="H4" s="14" t="s">
        <v>34</v>
      </c>
      <c r="I4" s="14" t="s">
        <v>35</v>
      </c>
      <c r="J4" s="14" t="s">
        <v>36</v>
      </c>
      <c r="K4" s="14" t="s">
        <v>37</v>
      </c>
      <c r="L4" s="14" t="s">
        <v>38</v>
      </c>
      <c r="M4" s="14" t="s">
        <v>39</v>
      </c>
      <c r="N4" s="14" t="s">
        <v>40</v>
      </c>
      <c r="O4" s="14" t="s">
        <v>41</v>
      </c>
      <c r="P4" s="14" t="s">
        <v>42</v>
      </c>
    </row>
    <row r="5" customFormat="false" ht="15" hidden="false" customHeight="false" outlineLevel="0" collapsed="false">
      <c r="A5" s="6"/>
      <c r="B5" s="15"/>
      <c r="C5" s="6"/>
      <c r="D5" s="6"/>
      <c r="E5" s="6"/>
      <c r="F5" s="6"/>
      <c r="G5" s="6"/>
      <c r="H5" s="16"/>
      <c r="I5" s="16"/>
      <c r="J5" s="16"/>
      <c r="K5" s="16"/>
      <c r="L5" s="17" t="str">
        <f aca="false">IF(H5="","",H5+I5-J5-K5)</f>
        <v/>
      </c>
      <c r="M5" s="16"/>
      <c r="N5" s="16"/>
      <c r="O5" s="17" t="str">
        <f aca="false">IF(L5="","",L5-M5-N5)</f>
        <v/>
      </c>
      <c r="P5" s="18" t="str">
        <f aca="false">IF(OR(L5="",L5=0),"",O5/L5)</f>
        <v/>
      </c>
    </row>
    <row r="6" customFormat="false" ht="15" hidden="false" customHeight="false" outlineLevel="0" collapsed="false">
      <c r="A6" s="6"/>
      <c r="B6" s="15"/>
      <c r="C6" s="6"/>
      <c r="D6" s="6"/>
      <c r="E6" s="6"/>
      <c r="F6" s="6"/>
      <c r="G6" s="6"/>
      <c r="H6" s="16"/>
      <c r="I6" s="16"/>
      <c r="J6" s="16"/>
      <c r="K6" s="16"/>
      <c r="L6" s="17" t="str">
        <f aca="false">IF(H6="","",H6+I6-J6-K6)</f>
        <v/>
      </c>
      <c r="M6" s="16"/>
      <c r="N6" s="16"/>
      <c r="O6" s="17" t="str">
        <f aca="false">IF(L6="","",L6-M6-N6)</f>
        <v/>
      </c>
      <c r="P6" s="18" t="str">
        <f aca="false">IF(OR(L6="",L6=0),"",O6/L6)</f>
        <v/>
      </c>
    </row>
    <row r="7" customFormat="false" ht="15" hidden="false" customHeight="false" outlineLevel="0" collapsed="false">
      <c r="A7" s="6"/>
      <c r="B7" s="15"/>
      <c r="C7" s="6"/>
      <c r="D7" s="6"/>
      <c r="E7" s="6"/>
      <c r="F7" s="6"/>
      <c r="G7" s="6"/>
      <c r="H7" s="16"/>
      <c r="I7" s="16"/>
      <c r="J7" s="16"/>
      <c r="K7" s="16"/>
      <c r="L7" s="17" t="str">
        <f aca="false">IF(H7="","",H7+I7-J7-K7)</f>
        <v/>
      </c>
      <c r="M7" s="16"/>
      <c r="N7" s="16"/>
      <c r="O7" s="17" t="str">
        <f aca="false">IF(L7="","",L7-M7-N7)</f>
        <v/>
      </c>
      <c r="P7" s="18" t="str">
        <f aca="false">IF(OR(L7="",L7=0),"",O7/L7)</f>
        <v/>
      </c>
    </row>
    <row r="8" customFormat="false" ht="15" hidden="false" customHeight="false" outlineLevel="0" collapsed="false">
      <c r="A8" s="6"/>
      <c r="B8" s="15"/>
      <c r="C8" s="6"/>
      <c r="D8" s="6"/>
      <c r="E8" s="6"/>
      <c r="F8" s="6"/>
      <c r="G8" s="6"/>
      <c r="H8" s="16"/>
      <c r="I8" s="16"/>
      <c r="J8" s="16"/>
      <c r="K8" s="16"/>
      <c r="L8" s="17" t="str">
        <f aca="false">IF(H8="","",H8+I8-J8-K8)</f>
        <v/>
      </c>
      <c r="M8" s="16"/>
      <c r="N8" s="16"/>
      <c r="O8" s="17" t="str">
        <f aca="false">IF(L8="","",L8-M8-N8)</f>
        <v/>
      </c>
      <c r="P8" s="18" t="str">
        <f aca="false">IF(OR(L8="",L8=0),"",O8/L8)</f>
        <v/>
      </c>
    </row>
    <row r="9" customFormat="false" ht="15" hidden="false" customHeight="false" outlineLevel="0" collapsed="false">
      <c r="A9" s="6"/>
      <c r="B9" s="15"/>
      <c r="C9" s="6"/>
      <c r="D9" s="6"/>
      <c r="E9" s="6"/>
      <c r="F9" s="6"/>
      <c r="G9" s="6"/>
      <c r="H9" s="16"/>
      <c r="I9" s="16"/>
      <c r="J9" s="16"/>
      <c r="K9" s="16"/>
      <c r="L9" s="17" t="str">
        <f aca="false">IF(H9="","",H9+I9-J9-K9)</f>
        <v/>
      </c>
      <c r="M9" s="16"/>
      <c r="N9" s="16"/>
      <c r="O9" s="17" t="str">
        <f aca="false">IF(L9="","",L9-M9-N9)</f>
        <v/>
      </c>
      <c r="P9" s="18" t="str">
        <f aca="false">IF(OR(L9="",L9=0),"",O9/L9)</f>
        <v/>
      </c>
    </row>
    <row r="10" customFormat="false" ht="15" hidden="false" customHeight="false" outlineLevel="0" collapsed="false">
      <c r="A10" s="6"/>
      <c r="B10" s="15"/>
      <c r="C10" s="6"/>
      <c r="D10" s="6"/>
      <c r="E10" s="6"/>
      <c r="F10" s="6"/>
      <c r="G10" s="6"/>
      <c r="H10" s="16"/>
      <c r="I10" s="16"/>
      <c r="J10" s="16"/>
      <c r="K10" s="16"/>
      <c r="L10" s="17" t="str">
        <f aca="false">IF(H10="","",H10+I10-J10-K10)</f>
        <v/>
      </c>
      <c r="M10" s="16"/>
      <c r="N10" s="16"/>
      <c r="O10" s="17" t="str">
        <f aca="false">IF(L10="","",L10-M10-N10)</f>
        <v/>
      </c>
      <c r="P10" s="18" t="str">
        <f aca="false">IF(OR(L10="",L10=0),"",O10/L10)</f>
        <v/>
      </c>
    </row>
    <row r="11" customFormat="false" ht="15" hidden="false" customHeight="false" outlineLevel="0" collapsed="false">
      <c r="A11" s="6"/>
      <c r="B11" s="15"/>
      <c r="C11" s="6"/>
      <c r="D11" s="6"/>
      <c r="E11" s="6"/>
      <c r="F11" s="6"/>
      <c r="G11" s="6"/>
      <c r="H11" s="16"/>
      <c r="I11" s="16"/>
      <c r="J11" s="16"/>
      <c r="K11" s="16"/>
      <c r="L11" s="17" t="str">
        <f aca="false">IF(H11="","",H11+I11-J11-K11)</f>
        <v/>
      </c>
      <c r="M11" s="16"/>
      <c r="N11" s="16"/>
      <c r="O11" s="17" t="str">
        <f aca="false">IF(L11="","",L11-M11-N11)</f>
        <v/>
      </c>
      <c r="P11" s="18" t="str">
        <f aca="false">IF(OR(L11="",L11=0),"",O11/L11)</f>
        <v/>
      </c>
    </row>
    <row r="12" customFormat="false" ht="15" hidden="false" customHeight="false" outlineLevel="0" collapsed="false">
      <c r="A12" s="6"/>
      <c r="B12" s="15"/>
      <c r="C12" s="6"/>
      <c r="D12" s="6"/>
      <c r="E12" s="6"/>
      <c r="F12" s="6"/>
      <c r="G12" s="6"/>
      <c r="H12" s="16"/>
      <c r="I12" s="16"/>
      <c r="J12" s="16"/>
      <c r="K12" s="16"/>
      <c r="L12" s="17" t="str">
        <f aca="false">IF(H12="","",H12+I12-J12-K12)</f>
        <v/>
      </c>
      <c r="M12" s="16"/>
      <c r="N12" s="16"/>
      <c r="O12" s="17" t="str">
        <f aca="false">IF(L12="","",L12-M12-N12)</f>
        <v/>
      </c>
      <c r="P12" s="18" t="str">
        <f aca="false">IF(OR(L12="",L12=0),"",O12/L12)</f>
        <v/>
      </c>
    </row>
    <row r="13" customFormat="false" ht="15" hidden="false" customHeight="false" outlineLevel="0" collapsed="false">
      <c r="A13" s="6"/>
      <c r="B13" s="15"/>
      <c r="C13" s="6"/>
      <c r="D13" s="6"/>
      <c r="E13" s="6"/>
      <c r="F13" s="6"/>
      <c r="G13" s="6"/>
      <c r="H13" s="16"/>
      <c r="I13" s="16"/>
      <c r="J13" s="16"/>
      <c r="K13" s="16"/>
      <c r="L13" s="17" t="str">
        <f aca="false">IF(H13="","",H13+I13-J13-K13)</f>
        <v/>
      </c>
      <c r="M13" s="16"/>
      <c r="N13" s="16"/>
      <c r="O13" s="17" t="str">
        <f aca="false">IF(L13="","",L13-M13-N13)</f>
        <v/>
      </c>
      <c r="P13" s="18" t="str">
        <f aca="false">IF(OR(L13="",L13=0),"",O13/L13)</f>
        <v/>
      </c>
    </row>
    <row r="14" customFormat="false" ht="15" hidden="false" customHeight="false" outlineLevel="0" collapsed="false">
      <c r="A14" s="6"/>
      <c r="B14" s="15"/>
      <c r="C14" s="6"/>
      <c r="D14" s="6"/>
      <c r="E14" s="6"/>
      <c r="F14" s="6"/>
      <c r="G14" s="6"/>
      <c r="H14" s="16"/>
      <c r="I14" s="16"/>
      <c r="J14" s="16"/>
      <c r="K14" s="16"/>
      <c r="L14" s="17" t="str">
        <f aca="false">IF(H14="","",H14+I14-J14-K14)</f>
        <v/>
      </c>
      <c r="M14" s="16"/>
      <c r="N14" s="16"/>
      <c r="O14" s="17" t="str">
        <f aca="false">IF(L14="","",L14-M14-N14)</f>
        <v/>
      </c>
      <c r="P14" s="18" t="str">
        <f aca="false">IF(OR(L14="",L14=0),"",O14/L14)</f>
        <v/>
      </c>
    </row>
    <row r="15" customFormat="false" ht="15" hidden="false" customHeight="false" outlineLevel="0" collapsed="false">
      <c r="A15" s="6"/>
      <c r="B15" s="15"/>
      <c r="C15" s="6"/>
      <c r="D15" s="6"/>
      <c r="E15" s="6"/>
      <c r="F15" s="6"/>
      <c r="G15" s="6"/>
      <c r="H15" s="16"/>
      <c r="I15" s="16"/>
      <c r="J15" s="16"/>
      <c r="K15" s="16"/>
      <c r="L15" s="17" t="str">
        <f aca="false">IF(H15="","",H15+I15-J15-K15)</f>
        <v/>
      </c>
      <c r="M15" s="16"/>
      <c r="N15" s="16"/>
      <c r="O15" s="17" t="str">
        <f aca="false">IF(L15="","",L15-M15-N15)</f>
        <v/>
      </c>
      <c r="P15" s="18" t="str">
        <f aca="false">IF(OR(L15="",L15=0),"",O15/L15)</f>
        <v/>
      </c>
    </row>
    <row r="16" customFormat="false" ht="15" hidden="false" customHeight="false" outlineLevel="0" collapsed="false">
      <c r="A16" s="6"/>
      <c r="B16" s="15"/>
      <c r="C16" s="6"/>
      <c r="D16" s="6"/>
      <c r="E16" s="6"/>
      <c r="F16" s="6"/>
      <c r="G16" s="6"/>
      <c r="H16" s="16"/>
      <c r="I16" s="16"/>
      <c r="J16" s="16"/>
      <c r="K16" s="16"/>
      <c r="L16" s="17" t="str">
        <f aca="false">IF(H16="","",H16+I16-J16-K16)</f>
        <v/>
      </c>
      <c r="M16" s="16"/>
      <c r="N16" s="16"/>
      <c r="O16" s="17" t="str">
        <f aca="false">IF(L16="","",L16-M16-N16)</f>
        <v/>
      </c>
      <c r="P16" s="18" t="str">
        <f aca="false">IF(OR(L16="",L16=0),"",O16/L16)</f>
        <v/>
      </c>
    </row>
    <row r="17" customFormat="false" ht="15" hidden="false" customHeight="false" outlineLevel="0" collapsed="false">
      <c r="A17" s="6"/>
      <c r="B17" s="15"/>
      <c r="C17" s="6"/>
      <c r="D17" s="6"/>
      <c r="E17" s="6"/>
      <c r="F17" s="6"/>
      <c r="G17" s="6"/>
      <c r="H17" s="16"/>
      <c r="I17" s="16"/>
      <c r="J17" s="16"/>
      <c r="K17" s="16"/>
      <c r="L17" s="17" t="str">
        <f aca="false">IF(H17="","",H17+I17-J17-K17)</f>
        <v/>
      </c>
      <c r="M17" s="16"/>
      <c r="N17" s="16"/>
      <c r="O17" s="17" t="str">
        <f aca="false">IF(L17="","",L17-M17-N17)</f>
        <v/>
      </c>
      <c r="P17" s="18" t="str">
        <f aca="false">IF(OR(L17="",L17=0),"",O17/L17)</f>
        <v/>
      </c>
    </row>
    <row r="18" customFormat="false" ht="15" hidden="false" customHeight="false" outlineLevel="0" collapsed="false">
      <c r="A18" s="6"/>
      <c r="B18" s="15"/>
      <c r="C18" s="6"/>
      <c r="D18" s="6"/>
      <c r="E18" s="6"/>
      <c r="F18" s="6"/>
      <c r="G18" s="6"/>
      <c r="H18" s="16"/>
      <c r="I18" s="16"/>
      <c r="J18" s="16"/>
      <c r="K18" s="16"/>
      <c r="L18" s="17" t="str">
        <f aca="false">IF(H18="","",H18+I18-J18-K18)</f>
        <v/>
      </c>
      <c r="M18" s="16"/>
      <c r="N18" s="16"/>
      <c r="O18" s="17" t="str">
        <f aca="false">IF(L18="","",L18-M18-N18)</f>
        <v/>
      </c>
      <c r="P18" s="18" t="str">
        <f aca="false">IF(OR(L18="",L18=0),"",O18/L18)</f>
        <v/>
      </c>
    </row>
    <row r="19" customFormat="false" ht="15" hidden="false" customHeight="false" outlineLevel="0" collapsed="false">
      <c r="A19" s="6"/>
      <c r="B19" s="15"/>
      <c r="C19" s="6"/>
      <c r="D19" s="6"/>
      <c r="E19" s="6"/>
      <c r="F19" s="6"/>
      <c r="G19" s="6"/>
      <c r="H19" s="16"/>
      <c r="I19" s="16"/>
      <c r="J19" s="16"/>
      <c r="K19" s="16"/>
      <c r="L19" s="17" t="str">
        <f aca="false">IF(H19="","",H19+I19-J19-K19)</f>
        <v/>
      </c>
      <c r="M19" s="16"/>
      <c r="N19" s="16"/>
      <c r="O19" s="17" t="str">
        <f aca="false">IF(L19="","",L19-M19-N19)</f>
        <v/>
      </c>
      <c r="P19" s="18" t="str">
        <f aca="false">IF(OR(L19="",L19=0),"",O19/L19)</f>
        <v/>
      </c>
    </row>
    <row r="20" customFormat="false" ht="15" hidden="false" customHeight="false" outlineLevel="0" collapsed="false">
      <c r="A20" s="6"/>
      <c r="B20" s="15"/>
      <c r="C20" s="6"/>
      <c r="D20" s="6"/>
      <c r="E20" s="6"/>
      <c r="F20" s="6"/>
      <c r="G20" s="6"/>
      <c r="H20" s="16"/>
      <c r="I20" s="16"/>
      <c r="J20" s="16"/>
      <c r="K20" s="16"/>
      <c r="L20" s="17" t="str">
        <f aca="false">IF(H20="","",H20+I20-J20-K20)</f>
        <v/>
      </c>
      <c r="M20" s="16"/>
      <c r="N20" s="16"/>
      <c r="O20" s="17" t="str">
        <f aca="false">IF(L20="","",L20-M20-N20)</f>
        <v/>
      </c>
      <c r="P20" s="18" t="str">
        <f aca="false">IF(OR(L20="",L20=0),"",O20/L20)</f>
        <v/>
      </c>
    </row>
    <row r="21" customFormat="false" ht="15" hidden="false" customHeight="false" outlineLevel="0" collapsed="false">
      <c r="A21" s="6"/>
      <c r="B21" s="15"/>
      <c r="C21" s="6"/>
      <c r="D21" s="6"/>
      <c r="E21" s="6"/>
      <c r="F21" s="6"/>
      <c r="G21" s="6"/>
      <c r="H21" s="16"/>
      <c r="I21" s="16"/>
      <c r="J21" s="16"/>
      <c r="K21" s="16"/>
      <c r="L21" s="17" t="str">
        <f aca="false">IF(H21="","",H21+I21-J21-K21)</f>
        <v/>
      </c>
      <c r="M21" s="16"/>
      <c r="N21" s="16"/>
      <c r="O21" s="17" t="str">
        <f aca="false">IF(L21="","",L21-M21-N21)</f>
        <v/>
      </c>
      <c r="P21" s="18" t="str">
        <f aca="false">IF(OR(L21="",L21=0),"",O21/L21)</f>
        <v/>
      </c>
    </row>
    <row r="22" customFormat="false" ht="15" hidden="false" customHeight="false" outlineLevel="0" collapsed="false">
      <c r="A22" s="6"/>
      <c r="B22" s="15"/>
      <c r="C22" s="6"/>
      <c r="D22" s="6"/>
      <c r="E22" s="6"/>
      <c r="F22" s="6"/>
      <c r="G22" s="6"/>
      <c r="H22" s="16"/>
      <c r="I22" s="16"/>
      <c r="J22" s="16"/>
      <c r="K22" s="16"/>
      <c r="L22" s="17" t="str">
        <f aca="false">IF(H22="","",H22+I22-J22-K22)</f>
        <v/>
      </c>
      <c r="M22" s="16"/>
      <c r="N22" s="16"/>
      <c r="O22" s="17" t="str">
        <f aca="false">IF(L22="","",L22-M22-N22)</f>
        <v/>
      </c>
      <c r="P22" s="18" t="str">
        <f aca="false">IF(OR(L22="",L22=0),"",O22/L22)</f>
        <v/>
      </c>
    </row>
    <row r="23" customFormat="false" ht="15" hidden="false" customHeight="false" outlineLevel="0" collapsed="false">
      <c r="A23" s="6"/>
      <c r="B23" s="15"/>
      <c r="C23" s="6"/>
      <c r="D23" s="6"/>
      <c r="E23" s="6"/>
      <c r="F23" s="6"/>
      <c r="G23" s="6"/>
      <c r="H23" s="16"/>
      <c r="I23" s="16"/>
      <c r="J23" s="16"/>
      <c r="K23" s="16"/>
      <c r="L23" s="17" t="str">
        <f aca="false">IF(H23="","",H23+I23-J23-K23)</f>
        <v/>
      </c>
      <c r="M23" s="16"/>
      <c r="N23" s="16"/>
      <c r="O23" s="17" t="str">
        <f aca="false">IF(L23="","",L23-M23-N23)</f>
        <v/>
      </c>
      <c r="P23" s="18" t="str">
        <f aca="false">IF(OR(L23="",L23=0),"",O23/L23)</f>
        <v/>
      </c>
    </row>
    <row r="24" customFormat="false" ht="15" hidden="false" customHeight="false" outlineLevel="0" collapsed="false">
      <c r="A24" s="6"/>
      <c r="B24" s="15"/>
      <c r="C24" s="6"/>
      <c r="D24" s="6"/>
      <c r="E24" s="6"/>
      <c r="F24" s="6"/>
      <c r="G24" s="6"/>
      <c r="H24" s="16"/>
      <c r="I24" s="16"/>
      <c r="J24" s="16"/>
      <c r="K24" s="16"/>
      <c r="L24" s="17" t="str">
        <f aca="false">IF(H24="","",H24+I24-J24-K24)</f>
        <v/>
      </c>
      <c r="M24" s="16"/>
      <c r="N24" s="16"/>
      <c r="O24" s="17" t="str">
        <f aca="false">IF(L24="","",L24-M24-N24)</f>
        <v/>
      </c>
      <c r="P24" s="18" t="str">
        <f aca="false">IF(OR(L24="",L24=0),"",O24/L24)</f>
        <v/>
      </c>
    </row>
    <row r="25" customFormat="false" ht="15" hidden="false" customHeight="false" outlineLevel="0" collapsed="false">
      <c r="A25" s="6"/>
      <c r="B25" s="15"/>
      <c r="C25" s="6"/>
      <c r="D25" s="6"/>
      <c r="E25" s="6"/>
      <c r="F25" s="6"/>
      <c r="G25" s="6"/>
      <c r="H25" s="16"/>
      <c r="I25" s="16"/>
      <c r="J25" s="16"/>
      <c r="K25" s="16"/>
      <c r="L25" s="17" t="str">
        <f aca="false">IF(H25="","",H25+I25-J25-K25)</f>
        <v/>
      </c>
      <c r="M25" s="16"/>
      <c r="N25" s="16"/>
      <c r="O25" s="17" t="str">
        <f aca="false">IF(L25="","",L25-M25-N25)</f>
        <v/>
      </c>
      <c r="P25" s="18" t="str">
        <f aca="false">IF(OR(L25="",L25=0),"",O25/L25)</f>
        <v/>
      </c>
    </row>
    <row r="26" customFormat="false" ht="15" hidden="false" customHeight="false" outlineLevel="0" collapsed="false">
      <c r="A26" s="6"/>
      <c r="B26" s="15"/>
      <c r="C26" s="6"/>
      <c r="D26" s="6"/>
      <c r="E26" s="6"/>
      <c r="F26" s="6"/>
      <c r="G26" s="6"/>
      <c r="H26" s="16"/>
      <c r="I26" s="16"/>
      <c r="J26" s="16"/>
      <c r="K26" s="16"/>
      <c r="L26" s="17" t="str">
        <f aca="false">IF(H26="","",H26+I26-J26-K26)</f>
        <v/>
      </c>
      <c r="M26" s="16"/>
      <c r="N26" s="16"/>
      <c r="O26" s="17" t="str">
        <f aca="false">IF(L26="","",L26-M26-N26)</f>
        <v/>
      </c>
      <c r="P26" s="18" t="str">
        <f aca="false">IF(OR(L26="",L26=0),"",O26/L26)</f>
        <v/>
      </c>
    </row>
    <row r="27" customFormat="false" ht="15" hidden="false" customHeight="false" outlineLevel="0" collapsed="false">
      <c r="A27" s="6"/>
      <c r="B27" s="15"/>
      <c r="C27" s="6"/>
      <c r="D27" s="6"/>
      <c r="E27" s="6"/>
      <c r="F27" s="6"/>
      <c r="G27" s="6"/>
      <c r="H27" s="16"/>
      <c r="I27" s="16"/>
      <c r="J27" s="16"/>
      <c r="K27" s="16"/>
      <c r="L27" s="17" t="str">
        <f aca="false">IF(H27="","",H27+I27-J27-K27)</f>
        <v/>
      </c>
      <c r="M27" s="16"/>
      <c r="N27" s="16"/>
      <c r="O27" s="17" t="str">
        <f aca="false">IF(L27="","",L27-M27-N27)</f>
        <v/>
      </c>
      <c r="P27" s="18" t="str">
        <f aca="false">IF(OR(L27="",L27=0),"",O27/L27)</f>
        <v/>
      </c>
    </row>
    <row r="28" customFormat="false" ht="15" hidden="false" customHeight="false" outlineLevel="0" collapsed="false">
      <c r="A28" s="6"/>
      <c r="B28" s="15"/>
      <c r="C28" s="6"/>
      <c r="D28" s="6"/>
      <c r="E28" s="6"/>
      <c r="F28" s="6"/>
      <c r="G28" s="6"/>
      <c r="H28" s="16"/>
      <c r="I28" s="16"/>
      <c r="J28" s="16"/>
      <c r="K28" s="16"/>
      <c r="L28" s="17" t="str">
        <f aca="false">IF(H28="","",H28+I28-J28-K28)</f>
        <v/>
      </c>
      <c r="M28" s="16"/>
      <c r="N28" s="16"/>
      <c r="O28" s="17" t="str">
        <f aca="false">IF(L28="","",L28-M28-N28)</f>
        <v/>
      </c>
      <c r="P28" s="18" t="str">
        <f aca="false">IF(OR(L28="",L28=0),"",O28/L28)</f>
        <v/>
      </c>
    </row>
    <row r="29" customFormat="false" ht="15" hidden="false" customHeight="false" outlineLevel="0" collapsed="false">
      <c r="A29" s="6"/>
      <c r="B29" s="15"/>
      <c r="C29" s="6"/>
      <c r="D29" s="6"/>
      <c r="E29" s="6"/>
      <c r="F29" s="6"/>
      <c r="G29" s="6"/>
      <c r="H29" s="16"/>
      <c r="I29" s="16"/>
      <c r="J29" s="16"/>
      <c r="K29" s="16"/>
      <c r="L29" s="17" t="str">
        <f aca="false">IF(H29="","",H29+I29-J29-K29)</f>
        <v/>
      </c>
      <c r="M29" s="16"/>
      <c r="N29" s="16"/>
      <c r="O29" s="17" t="str">
        <f aca="false">IF(L29="","",L29-M29-N29)</f>
        <v/>
      </c>
      <c r="P29" s="18" t="str">
        <f aca="false">IF(OR(L29="",L29=0),"",O29/L29)</f>
        <v/>
      </c>
    </row>
    <row r="30" customFormat="false" ht="15" hidden="false" customHeight="false" outlineLevel="0" collapsed="false">
      <c r="A30" s="6"/>
      <c r="B30" s="15"/>
      <c r="C30" s="6"/>
      <c r="D30" s="6"/>
      <c r="E30" s="6"/>
      <c r="F30" s="6"/>
      <c r="G30" s="6"/>
      <c r="H30" s="16"/>
      <c r="I30" s="16"/>
      <c r="J30" s="16"/>
      <c r="K30" s="16"/>
      <c r="L30" s="17" t="str">
        <f aca="false">IF(H30="","",H30+I30-J30-K30)</f>
        <v/>
      </c>
      <c r="M30" s="16"/>
      <c r="N30" s="16"/>
      <c r="O30" s="17" t="str">
        <f aca="false">IF(L30="","",L30-M30-N30)</f>
        <v/>
      </c>
      <c r="P30" s="18" t="str">
        <f aca="false">IF(OR(L30="",L30=0),"",O30/L30)</f>
        <v/>
      </c>
    </row>
    <row r="31" customFormat="false" ht="15" hidden="false" customHeight="false" outlineLevel="0" collapsed="false">
      <c r="A31" s="6"/>
      <c r="B31" s="15"/>
      <c r="C31" s="6"/>
      <c r="D31" s="6"/>
      <c r="E31" s="6"/>
      <c r="F31" s="6"/>
      <c r="G31" s="6"/>
      <c r="H31" s="16"/>
      <c r="I31" s="16"/>
      <c r="J31" s="16"/>
      <c r="K31" s="16"/>
      <c r="L31" s="17" t="str">
        <f aca="false">IF(H31="","",H31+I31-J31-K31)</f>
        <v/>
      </c>
      <c r="M31" s="16"/>
      <c r="N31" s="16"/>
      <c r="O31" s="17" t="str">
        <f aca="false">IF(L31="","",L31-M31-N31)</f>
        <v/>
      </c>
      <c r="P31" s="18" t="str">
        <f aca="false">IF(OR(L31="",L31=0),"",O31/L31)</f>
        <v/>
      </c>
    </row>
    <row r="32" customFormat="false" ht="15" hidden="false" customHeight="false" outlineLevel="0" collapsed="false">
      <c r="A32" s="6"/>
      <c r="B32" s="15"/>
      <c r="C32" s="6"/>
      <c r="D32" s="6"/>
      <c r="E32" s="6"/>
      <c r="F32" s="6"/>
      <c r="G32" s="6"/>
      <c r="H32" s="16"/>
      <c r="I32" s="16"/>
      <c r="J32" s="16"/>
      <c r="K32" s="16"/>
      <c r="L32" s="17" t="str">
        <f aca="false">IF(H32="","",H32+I32-J32-K32)</f>
        <v/>
      </c>
      <c r="M32" s="16"/>
      <c r="N32" s="16"/>
      <c r="O32" s="17" t="str">
        <f aca="false">IF(L32="","",L32-M32-N32)</f>
        <v/>
      </c>
      <c r="P32" s="18" t="str">
        <f aca="false">IF(OR(L32="",L32=0),"",O32/L32)</f>
        <v/>
      </c>
    </row>
    <row r="33" customFormat="false" ht="15" hidden="false" customHeight="false" outlineLevel="0" collapsed="false">
      <c r="A33" s="6"/>
      <c r="B33" s="15"/>
      <c r="C33" s="6"/>
      <c r="D33" s="6"/>
      <c r="E33" s="6"/>
      <c r="F33" s="6"/>
      <c r="G33" s="6"/>
      <c r="H33" s="16"/>
      <c r="I33" s="16"/>
      <c r="J33" s="16"/>
      <c r="K33" s="16"/>
      <c r="L33" s="17" t="str">
        <f aca="false">IF(H33="","",H33+I33-J33-K33)</f>
        <v/>
      </c>
      <c r="M33" s="16"/>
      <c r="N33" s="16"/>
      <c r="O33" s="17" t="str">
        <f aca="false">IF(L33="","",L33-M33-N33)</f>
        <v/>
      </c>
      <c r="P33" s="18" t="str">
        <f aca="false">IF(OR(L33="",L33=0),"",O33/L33)</f>
        <v/>
      </c>
    </row>
    <row r="34" customFormat="false" ht="15" hidden="false" customHeight="false" outlineLevel="0" collapsed="false">
      <c r="A34" s="6"/>
      <c r="B34" s="15"/>
      <c r="C34" s="6"/>
      <c r="D34" s="6"/>
      <c r="E34" s="6"/>
      <c r="F34" s="6"/>
      <c r="G34" s="6"/>
      <c r="H34" s="16"/>
      <c r="I34" s="16"/>
      <c r="J34" s="16"/>
      <c r="K34" s="16"/>
      <c r="L34" s="17" t="str">
        <f aca="false">IF(H34="","",H34+I34-J34-K34)</f>
        <v/>
      </c>
      <c r="M34" s="16"/>
      <c r="N34" s="16"/>
      <c r="O34" s="17" t="str">
        <f aca="false">IF(L34="","",L34-M34-N34)</f>
        <v/>
      </c>
      <c r="P34" s="18" t="str">
        <f aca="false">IF(OR(L34="",L34=0),"",O34/L34)</f>
        <v/>
      </c>
    </row>
    <row r="35" customFormat="false" ht="15" hidden="false" customHeight="false" outlineLevel="0" collapsed="false">
      <c r="A35" s="6"/>
      <c r="B35" s="15"/>
      <c r="C35" s="6"/>
      <c r="D35" s="6"/>
      <c r="E35" s="6"/>
      <c r="F35" s="6"/>
      <c r="G35" s="6"/>
      <c r="H35" s="16"/>
      <c r="I35" s="16"/>
      <c r="J35" s="16"/>
      <c r="K35" s="16"/>
      <c r="L35" s="17" t="str">
        <f aca="false">IF(H35="","",H35+I35-J35-K35)</f>
        <v/>
      </c>
      <c r="M35" s="16"/>
      <c r="N35" s="16"/>
      <c r="O35" s="17" t="str">
        <f aca="false">IF(L35="","",L35-M35-N35)</f>
        <v/>
      </c>
      <c r="P35" s="18" t="str">
        <f aca="false">IF(OR(L35="",L35=0),"",O35/L35)</f>
        <v/>
      </c>
    </row>
    <row r="36" customFormat="false" ht="15" hidden="false" customHeight="false" outlineLevel="0" collapsed="false">
      <c r="A36" s="6"/>
      <c r="B36" s="15"/>
      <c r="C36" s="6"/>
      <c r="D36" s="6"/>
      <c r="E36" s="6"/>
      <c r="F36" s="6"/>
      <c r="G36" s="6"/>
      <c r="H36" s="16"/>
      <c r="I36" s="16"/>
      <c r="J36" s="16"/>
      <c r="K36" s="16"/>
      <c r="L36" s="17" t="str">
        <f aca="false">IF(H36="","",H36+I36-J36-K36)</f>
        <v/>
      </c>
      <c r="M36" s="16"/>
      <c r="N36" s="16"/>
      <c r="O36" s="17" t="str">
        <f aca="false">IF(L36="","",L36-M36-N36)</f>
        <v/>
      </c>
      <c r="P36" s="18" t="str">
        <f aca="false">IF(OR(L36="",L36=0),"",O36/L36)</f>
        <v/>
      </c>
    </row>
    <row r="37" customFormat="false" ht="15" hidden="false" customHeight="false" outlineLevel="0" collapsed="false">
      <c r="A37" s="6"/>
      <c r="B37" s="15"/>
      <c r="C37" s="6"/>
      <c r="D37" s="6"/>
      <c r="E37" s="6"/>
      <c r="F37" s="6"/>
      <c r="G37" s="6"/>
      <c r="H37" s="16"/>
      <c r="I37" s="16"/>
      <c r="J37" s="16"/>
      <c r="K37" s="16"/>
      <c r="L37" s="17" t="str">
        <f aca="false">IF(H37="","",H37+I37-J37-K37)</f>
        <v/>
      </c>
      <c r="M37" s="16"/>
      <c r="N37" s="16"/>
      <c r="O37" s="17" t="str">
        <f aca="false">IF(L37="","",L37-M37-N37)</f>
        <v/>
      </c>
      <c r="P37" s="18" t="str">
        <f aca="false">IF(OR(L37="",L37=0),"",O37/L37)</f>
        <v/>
      </c>
    </row>
    <row r="38" customFormat="false" ht="15" hidden="false" customHeight="false" outlineLevel="0" collapsed="false">
      <c r="A38" s="6"/>
      <c r="B38" s="15"/>
      <c r="C38" s="6"/>
      <c r="D38" s="6"/>
      <c r="E38" s="6"/>
      <c r="F38" s="6"/>
      <c r="G38" s="6"/>
      <c r="H38" s="16"/>
      <c r="I38" s="16"/>
      <c r="J38" s="16"/>
      <c r="K38" s="16"/>
      <c r="L38" s="17" t="str">
        <f aca="false">IF(H38="","",H38+I38-J38-K38)</f>
        <v/>
      </c>
      <c r="M38" s="16"/>
      <c r="N38" s="16"/>
      <c r="O38" s="17" t="str">
        <f aca="false">IF(L38="","",L38-M38-N38)</f>
        <v/>
      </c>
      <c r="P38" s="18" t="str">
        <f aca="false">IF(OR(L38="",L38=0),"",O38/L38)</f>
        <v/>
      </c>
    </row>
    <row r="39" customFormat="false" ht="15" hidden="false" customHeight="false" outlineLevel="0" collapsed="false">
      <c r="A39" s="6"/>
      <c r="B39" s="15"/>
      <c r="C39" s="6"/>
      <c r="D39" s="6"/>
      <c r="E39" s="6"/>
      <c r="F39" s="6"/>
      <c r="G39" s="6"/>
      <c r="H39" s="16"/>
      <c r="I39" s="16"/>
      <c r="J39" s="16"/>
      <c r="K39" s="16"/>
      <c r="L39" s="17" t="str">
        <f aca="false">IF(H39="","",H39+I39-J39-K39)</f>
        <v/>
      </c>
      <c r="M39" s="16"/>
      <c r="N39" s="16"/>
      <c r="O39" s="17" t="str">
        <f aca="false">IF(L39="","",L39-M39-N39)</f>
        <v/>
      </c>
      <c r="P39" s="18" t="str">
        <f aca="false">IF(OR(L39="",L39=0),"",O39/L39)</f>
        <v/>
      </c>
    </row>
    <row r="40" customFormat="false" ht="15" hidden="false" customHeight="false" outlineLevel="0" collapsed="false">
      <c r="A40" s="6"/>
      <c r="B40" s="15"/>
      <c r="C40" s="6"/>
      <c r="D40" s="6"/>
      <c r="E40" s="6"/>
      <c r="F40" s="6"/>
      <c r="G40" s="6"/>
      <c r="H40" s="16"/>
      <c r="I40" s="16"/>
      <c r="J40" s="16"/>
      <c r="K40" s="16"/>
      <c r="L40" s="17" t="str">
        <f aca="false">IF(H40="","",H40+I40-J40-K40)</f>
        <v/>
      </c>
      <c r="M40" s="16"/>
      <c r="N40" s="16"/>
      <c r="O40" s="17" t="str">
        <f aca="false">IF(L40="","",L40-M40-N40)</f>
        <v/>
      </c>
      <c r="P40" s="18" t="str">
        <f aca="false">IF(OR(L40="",L40=0),"",O40/L40)</f>
        <v/>
      </c>
    </row>
    <row r="41" customFormat="false" ht="15" hidden="false" customHeight="false" outlineLevel="0" collapsed="false">
      <c r="A41" s="6"/>
      <c r="B41" s="15"/>
      <c r="C41" s="6"/>
      <c r="D41" s="6"/>
      <c r="E41" s="6"/>
      <c r="F41" s="6"/>
      <c r="G41" s="6"/>
      <c r="H41" s="16"/>
      <c r="I41" s="16"/>
      <c r="J41" s="16"/>
      <c r="K41" s="16"/>
      <c r="L41" s="17" t="str">
        <f aca="false">IF(H41="","",H41+I41-J41-K41)</f>
        <v/>
      </c>
      <c r="M41" s="16"/>
      <c r="N41" s="16"/>
      <c r="O41" s="17" t="str">
        <f aca="false">IF(L41="","",L41-M41-N41)</f>
        <v/>
      </c>
      <c r="P41" s="18" t="str">
        <f aca="false">IF(OR(L41="",L41=0),"",O41/L41)</f>
        <v/>
      </c>
    </row>
    <row r="42" customFormat="false" ht="15" hidden="false" customHeight="false" outlineLevel="0" collapsed="false">
      <c r="A42" s="6"/>
      <c r="B42" s="15"/>
      <c r="C42" s="6"/>
      <c r="D42" s="6"/>
      <c r="E42" s="6"/>
      <c r="F42" s="6"/>
      <c r="G42" s="6"/>
      <c r="H42" s="16"/>
      <c r="I42" s="16"/>
      <c r="J42" s="16"/>
      <c r="K42" s="16"/>
      <c r="L42" s="17" t="str">
        <f aca="false">IF(H42="","",H42+I42-J42-K42)</f>
        <v/>
      </c>
      <c r="M42" s="16"/>
      <c r="N42" s="16"/>
      <c r="O42" s="17" t="str">
        <f aca="false">IF(L42="","",L42-M42-N42)</f>
        <v/>
      </c>
      <c r="P42" s="18" t="str">
        <f aca="false">IF(OR(L42="",L42=0),"",O42/L42)</f>
        <v/>
      </c>
    </row>
    <row r="43" customFormat="false" ht="15" hidden="false" customHeight="false" outlineLevel="0" collapsed="false">
      <c r="A43" s="6"/>
      <c r="B43" s="15"/>
      <c r="C43" s="6"/>
      <c r="D43" s="6"/>
      <c r="E43" s="6"/>
      <c r="F43" s="6"/>
      <c r="G43" s="6"/>
      <c r="H43" s="16"/>
      <c r="I43" s="16"/>
      <c r="J43" s="16"/>
      <c r="K43" s="16"/>
      <c r="L43" s="17" t="str">
        <f aca="false">IF(H43="","",H43+I43-J43-K43)</f>
        <v/>
      </c>
      <c r="M43" s="16"/>
      <c r="N43" s="16"/>
      <c r="O43" s="17" t="str">
        <f aca="false">IF(L43="","",L43-M43-N43)</f>
        <v/>
      </c>
      <c r="P43" s="18" t="str">
        <f aca="false">IF(OR(L43="",L43=0),"",O43/L43)</f>
        <v/>
      </c>
    </row>
    <row r="44" customFormat="false" ht="15" hidden="false" customHeight="false" outlineLevel="0" collapsed="false">
      <c r="A44" s="6"/>
      <c r="B44" s="15"/>
      <c r="C44" s="6"/>
      <c r="D44" s="6"/>
      <c r="E44" s="6"/>
      <c r="F44" s="6"/>
      <c r="G44" s="6"/>
      <c r="H44" s="16"/>
      <c r="I44" s="16"/>
      <c r="J44" s="16"/>
      <c r="K44" s="16"/>
      <c r="L44" s="17" t="str">
        <f aca="false">IF(H44="","",H44+I44-J44-K44)</f>
        <v/>
      </c>
      <c r="M44" s="16"/>
      <c r="N44" s="16"/>
      <c r="O44" s="17" t="str">
        <f aca="false">IF(L44="","",L44-M44-N44)</f>
        <v/>
      </c>
      <c r="P44" s="18" t="str">
        <f aca="false">IF(OR(L44="",L44=0),"",O44/L44)</f>
        <v/>
      </c>
    </row>
    <row r="45" customFormat="false" ht="15" hidden="false" customHeight="false" outlineLevel="0" collapsed="false">
      <c r="A45" s="6"/>
      <c r="B45" s="15"/>
      <c r="C45" s="6"/>
      <c r="D45" s="6"/>
      <c r="E45" s="6"/>
      <c r="F45" s="6"/>
      <c r="G45" s="6"/>
      <c r="H45" s="16"/>
      <c r="I45" s="16"/>
      <c r="J45" s="16"/>
      <c r="K45" s="16"/>
      <c r="L45" s="17" t="str">
        <f aca="false">IF(H45="","",H45+I45-J45-K45)</f>
        <v/>
      </c>
      <c r="M45" s="16"/>
      <c r="N45" s="16"/>
      <c r="O45" s="17" t="str">
        <f aca="false">IF(L45="","",L45-M45-N45)</f>
        <v/>
      </c>
      <c r="P45" s="18" t="str">
        <f aca="false">IF(OR(L45="",L45=0),"",O45/L45)</f>
        <v/>
      </c>
    </row>
    <row r="46" customFormat="false" ht="15" hidden="false" customHeight="false" outlineLevel="0" collapsed="false">
      <c r="A46" s="6"/>
      <c r="B46" s="15"/>
      <c r="C46" s="6"/>
      <c r="D46" s="6"/>
      <c r="E46" s="6"/>
      <c r="F46" s="6"/>
      <c r="G46" s="6"/>
      <c r="H46" s="16"/>
      <c r="I46" s="16"/>
      <c r="J46" s="16"/>
      <c r="K46" s="16"/>
      <c r="L46" s="17" t="str">
        <f aca="false">IF(H46="","",H46+I46-J46-K46)</f>
        <v/>
      </c>
      <c r="M46" s="16"/>
      <c r="N46" s="16"/>
      <c r="O46" s="17" t="str">
        <f aca="false">IF(L46="","",L46-M46-N46)</f>
        <v/>
      </c>
      <c r="P46" s="18" t="str">
        <f aca="false">IF(OR(L46="",L46=0),"",O46/L46)</f>
        <v/>
      </c>
    </row>
    <row r="47" customFormat="false" ht="15" hidden="false" customHeight="false" outlineLevel="0" collapsed="false">
      <c r="A47" s="6"/>
      <c r="B47" s="15"/>
      <c r="C47" s="6"/>
      <c r="D47" s="6"/>
      <c r="E47" s="6"/>
      <c r="F47" s="6"/>
      <c r="G47" s="6"/>
      <c r="H47" s="16"/>
      <c r="I47" s="16"/>
      <c r="J47" s="16"/>
      <c r="K47" s="16"/>
      <c r="L47" s="17" t="str">
        <f aca="false">IF(H47="","",H47+I47-J47-K47)</f>
        <v/>
      </c>
      <c r="M47" s="16"/>
      <c r="N47" s="16"/>
      <c r="O47" s="17" t="str">
        <f aca="false">IF(L47="","",L47-M47-N47)</f>
        <v/>
      </c>
      <c r="P47" s="18" t="str">
        <f aca="false">IF(OR(L47="",L47=0),"",O47/L47)</f>
        <v/>
      </c>
    </row>
    <row r="48" customFormat="false" ht="15" hidden="false" customHeight="false" outlineLevel="0" collapsed="false">
      <c r="A48" s="6"/>
      <c r="B48" s="15"/>
      <c r="C48" s="6"/>
      <c r="D48" s="6"/>
      <c r="E48" s="6"/>
      <c r="F48" s="6"/>
      <c r="G48" s="6"/>
      <c r="H48" s="16"/>
      <c r="I48" s="16"/>
      <c r="J48" s="16"/>
      <c r="K48" s="16"/>
      <c r="L48" s="17" t="str">
        <f aca="false">IF(H48="","",H48+I48-J48-K48)</f>
        <v/>
      </c>
      <c r="M48" s="16"/>
      <c r="N48" s="16"/>
      <c r="O48" s="17" t="str">
        <f aca="false">IF(L48="","",L48-M48-N48)</f>
        <v/>
      </c>
      <c r="P48" s="18" t="str">
        <f aca="false">IF(OR(L48="",L48=0),"",O48/L48)</f>
        <v/>
      </c>
    </row>
    <row r="49" customFormat="false" ht="15" hidden="false" customHeight="false" outlineLevel="0" collapsed="false">
      <c r="A49" s="6"/>
      <c r="B49" s="15"/>
      <c r="C49" s="6"/>
      <c r="D49" s="6"/>
      <c r="E49" s="6"/>
      <c r="F49" s="6"/>
      <c r="G49" s="6"/>
      <c r="H49" s="16"/>
      <c r="I49" s="16"/>
      <c r="J49" s="16"/>
      <c r="K49" s="16"/>
      <c r="L49" s="17" t="str">
        <f aca="false">IF(H49="","",H49+I49-J49-K49)</f>
        <v/>
      </c>
      <c r="M49" s="16"/>
      <c r="N49" s="16"/>
      <c r="O49" s="17" t="str">
        <f aca="false">IF(L49="","",L49-M49-N49)</f>
        <v/>
      </c>
      <c r="P49" s="18" t="str">
        <f aca="false">IF(OR(L49="",L49=0),"",O49/L49)</f>
        <v/>
      </c>
    </row>
    <row r="50" customFormat="false" ht="15" hidden="false" customHeight="false" outlineLevel="0" collapsed="false">
      <c r="A50" s="6"/>
      <c r="B50" s="15"/>
      <c r="C50" s="6"/>
      <c r="D50" s="6"/>
      <c r="E50" s="6"/>
      <c r="F50" s="6"/>
      <c r="G50" s="6"/>
      <c r="H50" s="16"/>
      <c r="I50" s="16"/>
      <c r="J50" s="16"/>
      <c r="K50" s="16"/>
      <c r="L50" s="17" t="str">
        <f aca="false">IF(H50="","",H50+I50-J50-K50)</f>
        <v/>
      </c>
      <c r="M50" s="16"/>
      <c r="N50" s="16"/>
      <c r="O50" s="17" t="str">
        <f aca="false">IF(L50="","",L50-M50-N50)</f>
        <v/>
      </c>
      <c r="P50" s="18" t="str">
        <f aca="false">IF(OR(L50="",L50=0),"",O50/L50)</f>
        <v/>
      </c>
    </row>
    <row r="51" customFormat="false" ht="15" hidden="false" customHeight="false" outlineLevel="0" collapsed="false">
      <c r="A51" s="6"/>
      <c r="B51" s="15"/>
      <c r="C51" s="6"/>
      <c r="D51" s="6"/>
      <c r="E51" s="6"/>
      <c r="F51" s="6"/>
      <c r="G51" s="6"/>
      <c r="H51" s="16"/>
      <c r="I51" s="16"/>
      <c r="J51" s="16"/>
      <c r="K51" s="16"/>
      <c r="L51" s="17" t="str">
        <f aca="false">IF(H51="","",H51+I51-J51-K51)</f>
        <v/>
      </c>
      <c r="M51" s="16"/>
      <c r="N51" s="16"/>
      <c r="O51" s="17" t="str">
        <f aca="false">IF(L51="","",L51-M51-N51)</f>
        <v/>
      </c>
      <c r="P51" s="18" t="str">
        <f aca="false">IF(OR(L51="",L51=0),"",O51/L51)</f>
        <v/>
      </c>
    </row>
    <row r="52" customFormat="false" ht="15" hidden="false" customHeight="false" outlineLevel="0" collapsed="false">
      <c r="A52" s="6"/>
      <c r="B52" s="15"/>
      <c r="C52" s="6"/>
      <c r="D52" s="6"/>
      <c r="E52" s="6"/>
      <c r="F52" s="6"/>
      <c r="G52" s="6"/>
      <c r="H52" s="16"/>
      <c r="I52" s="16"/>
      <c r="J52" s="16"/>
      <c r="K52" s="16"/>
      <c r="L52" s="17" t="str">
        <f aca="false">IF(H52="","",H52+I52-J52-K52)</f>
        <v/>
      </c>
      <c r="M52" s="16"/>
      <c r="N52" s="16"/>
      <c r="O52" s="17" t="str">
        <f aca="false">IF(L52="","",L52-M52-N52)</f>
        <v/>
      </c>
      <c r="P52" s="18" t="str">
        <f aca="false">IF(OR(L52="",L52=0),"",O52/L52)</f>
        <v/>
      </c>
    </row>
    <row r="53" customFormat="false" ht="15" hidden="false" customHeight="false" outlineLevel="0" collapsed="false">
      <c r="A53" s="6"/>
      <c r="B53" s="15"/>
      <c r="C53" s="6"/>
      <c r="D53" s="6"/>
      <c r="E53" s="6"/>
      <c r="F53" s="6"/>
      <c r="G53" s="6"/>
      <c r="H53" s="16"/>
      <c r="I53" s="16"/>
      <c r="J53" s="16"/>
      <c r="K53" s="16"/>
      <c r="L53" s="17" t="str">
        <f aca="false">IF(H53="","",H53+I53-J53-K53)</f>
        <v/>
      </c>
      <c r="M53" s="16"/>
      <c r="N53" s="16"/>
      <c r="O53" s="17" t="str">
        <f aca="false">IF(L53="","",L53-M53-N53)</f>
        <v/>
      </c>
      <c r="P53" s="18" t="str">
        <f aca="false">IF(OR(L53="",L53=0),"",O53/L53)</f>
        <v/>
      </c>
    </row>
    <row r="54" customFormat="false" ht="15" hidden="false" customHeight="false" outlineLevel="0" collapsed="false">
      <c r="A54" s="6"/>
      <c r="B54" s="15"/>
      <c r="C54" s="6"/>
      <c r="D54" s="6"/>
      <c r="E54" s="6"/>
      <c r="F54" s="6"/>
      <c r="G54" s="6"/>
      <c r="H54" s="16"/>
      <c r="I54" s="16"/>
      <c r="J54" s="16"/>
      <c r="K54" s="16"/>
      <c r="L54" s="17" t="str">
        <f aca="false">IF(H54="","",H54+I54-J54-K54)</f>
        <v/>
      </c>
      <c r="M54" s="16"/>
      <c r="N54" s="16"/>
      <c r="O54" s="17" t="str">
        <f aca="false">IF(L54="","",L54-M54-N54)</f>
        <v/>
      </c>
      <c r="P54" s="18" t="str">
        <f aca="false">IF(OR(L54="",L54=0),"",O54/L54)</f>
        <v/>
      </c>
    </row>
    <row r="55" customFormat="false" ht="15" hidden="false" customHeight="false" outlineLevel="0" collapsed="false">
      <c r="A55" s="6"/>
      <c r="B55" s="15"/>
      <c r="C55" s="6"/>
      <c r="D55" s="6"/>
      <c r="E55" s="6"/>
      <c r="F55" s="6"/>
      <c r="G55" s="6"/>
      <c r="H55" s="16"/>
      <c r="I55" s="16"/>
      <c r="J55" s="16"/>
      <c r="K55" s="16"/>
      <c r="L55" s="17" t="str">
        <f aca="false">IF(H55="","",H55+I55-J55-K55)</f>
        <v/>
      </c>
      <c r="M55" s="16"/>
      <c r="N55" s="16"/>
      <c r="O55" s="17" t="str">
        <f aca="false">IF(L55="","",L55-M55-N55)</f>
        <v/>
      </c>
      <c r="P55" s="18" t="str">
        <f aca="false">IF(OR(L55="",L55=0),"",O55/L55)</f>
        <v/>
      </c>
    </row>
    <row r="56" customFormat="false" ht="15" hidden="false" customHeight="false" outlineLevel="0" collapsed="false">
      <c r="A56" s="6"/>
      <c r="B56" s="15"/>
      <c r="C56" s="6"/>
      <c r="D56" s="6"/>
      <c r="E56" s="6"/>
      <c r="F56" s="6"/>
      <c r="G56" s="6"/>
      <c r="H56" s="16"/>
      <c r="I56" s="16"/>
      <c r="J56" s="16"/>
      <c r="K56" s="16"/>
      <c r="L56" s="17" t="str">
        <f aca="false">IF(H56="","",H56+I56-J56-K56)</f>
        <v/>
      </c>
      <c r="M56" s="16"/>
      <c r="N56" s="16"/>
      <c r="O56" s="17" t="str">
        <f aca="false">IF(L56="","",L56-M56-N56)</f>
        <v/>
      </c>
      <c r="P56" s="18" t="str">
        <f aca="false">IF(OR(L56="",L56=0),"",O56/L56)</f>
        <v/>
      </c>
    </row>
    <row r="57" customFormat="false" ht="15" hidden="false" customHeight="false" outlineLevel="0" collapsed="false">
      <c r="A57" s="6"/>
      <c r="B57" s="15"/>
      <c r="C57" s="6"/>
      <c r="D57" s="6"/>
      <c r="E57" s="6"/>
      <c r="F57" s="6"/>
      <c r="G57" s="6"/>
      <c r="H57" s="16"/>
      <c r="I57" s="16"/>
      <c r="J57" s="16"/>
      <c r="K57" s="16"/>
      <c r="L57" s="17" t="str">
        <f aca="false">IF(H57="","",H57+I57-J57-K57)</f>
        <v/>
      </c>
      <c r="M57" s="16"/>
      <c r="N57" s="16"/>
      <c r="O57" s="17" t="str">
        <f aca="false">IF(L57="","",L57-M57-N57)</f>
        <v/>
      </c>
      <c r="P57" s="18" t="str">
        <f aca="false">IF(OR(L57="",L57=0),"",O57/L57)</f>
        <v/>
      </c>
    </row>
    <row r="58" customFormat="false" ht="15" hidden="false" customHeight="false" outlineLevel="0" collapsed="false">
      <c r="A58" s="6"/>
      <c r="B58" s="15"/>
      <c r="C58" s="6"/>
      <c r="D58" s="6"/>
      <c r="E58" s="6"/>
      <c r="F58" s="6"/>
      <c r="G58" s="6"/>
      <c r="H58" s="16"/>
      <c r="I58" s="16"/>
      <c r="J58" s="16"/>
      <c r="K58" s="16"/>
      <c r="L58" s="17" t="str">
        <f aca="false">IF(H58="","",H58+I58-J58-K58)</f>
        <v/>
      </c>
      <c r="M58" s="16"/>
      <c r="N58" s="16"/>
      <c r="O58" s="17" t="str">
        <f aca="false">IF(L58="","",L58-M58-N58)</f>
        <v/>
      </c>
      <c r="P58" s="18" t="str">
        <f aca="false">IF(OR(L58="",L58=0),"",O58/L58)</f>
        <v/>
      </c>
    </row>
    <row r="59" customFormat="false" ht="15" hidden="false" customHeight="false" outlineLevel="0" collapsed="false">
      <c r="A59" s="6"/>
      <c r="B59" s="15"/>
      <c r="C59" s="6"/>
      <c r="D59" s="6"/>
      <c r="E59" s="6"/>
      <c r="F59" s="6"/>
      <c r="G59" s="6"/>
      <c r="H59" s="16"/>
      <c r="I59" s="16"/>
      <c r="J59" s="16"/>
      <c r="K59" s="16"/>
      <c r="L59" s="17" t="str">
        <f aca="false">IF(H59="","",H59+I59-J59-K59)</f>
        <v/>
      </c>
      <c r="M59" s="16"/>
      <c r="N59" s="16"/>
      <c r="O59" s="17" t="str">
        <f aca="false">IF(L59="","",L59-M59-N59)</f>
        <v/>
      </c>
      <c r="P59" s="18" t="str">
        <f aca="false">IF(OR(L59="",L59=0),"",O59/L59)</f>
        <v/>
      </c>
    </row>
    <row r="60" customFormat="false" ht="15" hidden="false" customHeight="false" outlineLevel="0" collapsed="false">
      <c r="A60" s="6"/>
      <c r="B60" s="15"/>
      <c r="C60" s="6"/>
      <c r="D60" s="6"/>
      <c r="E60" s="6"/>
      <c r="F60" s="6"/>
      <c r="G60" s="6"/>
      <c r="H60" s="16"/>
      <c r="I60" s="16"/>
      <c r="J60" s="16"/>
      <c r="K60" s="16"/>
      <c r="L60" s="17" t="str">
        <f aca="false">IF(H60="","",H60+I60-J60-K60)</f>
        <v/>
      </c>
      <c r="M60" s="16"/>
      <c r="N60" s="16"/>
      <c r="O60" s="17" t="str">
        <f aca="false">IF(L60="","",L60-M60-N60)</f>
        <v/>
      </c>
      <c r="P60" s="18" t="str">
        <f aca="false">IF(OR(L60="",L60=0),"",O60/L60)</f>
        <v/>
      </c>
    </row>
    <row r="61" customFormat="false" ht="15" hidden="false" customHeight="false" outlineLevel="0" collapsed="false">
      <c r="A61" s="6"/>
      <c r="B61" s="15"/>
      <c r="C61" s="6"/>
      <c r="D61" s="6"/>
      <c r="E61" s="6"/>
      <c r="F61" s="6"/>
      <c r="G61" s="6"/>
      <c r="H61" s="16"/>
      <c r="I61" s="16"/>
      <c r="J61" s="16"/>
      <c r="K61" s="16"/>
      <c r="L61" s="17" t="str">
        <f aca="false">IF(H61="","",H61+I61-J61-K61)</f>
        <v/>
      </c>
      <c r="M61" s="16"/>
      <c r="N61" s="16"/>
      <c r="O61" s="17" t="str">
        <f aca="false">IF(L61="","",L61-M61-N61)</f>
        <v/>
      </c>
      <c r="P61" s="18" t="str">
        <f aca="false">IF(OR(L61="",L61=0),"",O61/L61)</f>
        <v/>
      </c>
    </row>
    <row r="62" customFormat="false" ht="15" hidden="false" customHeight="false" outlineLevel="0" collapsed="false">
      <c r="A62" s="6"/>
      <c r="B62" s="15"/>
      <c r="C62" s="6"/>
      <c r="D62" s="6"/>
      <c r="E62" s="6"/>
      <c r="F62" s="6"/>
      <c r="G62" s="6"/>
      <c r="H62" s="16"/>
      <c r="I62" s="16"/>
      <c r="J62" s="16"/>
      <c r="K62" s="16"/>
      <c r="L62" s="17" t="str">
        <f aca="false">IF(H62="","",H62+I62-J62-K62)</f>
        <v/>
      </c>
      <c r="M62" s="16"/>
      <c r="N62" s="16"/>
      <c r="O62" s="17" t="str">
        <f aca="false">IF(L62="","",L62-M62-N62)</f>
        <v/>
      </c>
      <c r="P62" s="18" t="str">
        <f aca="false">IF(OR(L62="",L62=0),"",O62/L62)</f>
        <v/>
      </c>
    </row>
    <row r="63" customFormat="false" ht="15" hidden="false" customHeight="false" outlineLevel="0" collapsed="false">
      <c r="A63" s="6"/>
      <c r="B63" s="15"/>
      <c r="C63" s="6"/>
      <c r="D63" s="6"/>
      <c r="E63" s="6"/>
      <c r="F63" s="6"/>
      <c r="G63" s="6"/>
      <c r="H63" s="16"/>
      <c r="I63" s="16"/>
      <c r="J63" s="16"/>
      <c r="K63" s="16"/>
      <c r="L63" s="17" t="str">
        <f aca="false">IF(H63="","",H63+I63-J63-K63)</f>
        <v/>
      </c>
      <c r="M63" s="16"/>
      <c r="N63" s="16"/>
      <c r="O63" s="17" t="str">
        <f aca="false">IF(L63="","",L63-M63-N63)</f>
        <v/>
      </c>
      <c r="P63" s="18" t="str">
        <f aca="false">IF(OR(L63="",L63=0),"",O63/L63)</f>
        <v/>
      </c>
    </row>
    <row r="64" customFormat="false" ht="15" hidden="false" customHeight="false" outlineLevel="0" collapsed="false">
      <c r="A64" s="6"/>
      <c r="B64" s="15"/>
      <c r="C64" s="6"/>
      <c r="D64" s="6"/>
      <c r="E64" s="6"/>
      <c r="F64" s="6"/>
      <c r="G64" s="6"/>
      <c r="H64" s="16"/>
      <c r="I64" s="16"/>
      <c r="J64" s="16"/>
      <c r="K64" s="16"/>
      <c r="L64" s="17" t="str">
        <f aca="false">IF(H64="","",H64+I64-J64-K64)</f>
        <v/>
      </c>
      <c r="M64" s="16"/>
      <c r="N64" s="16"/>
      <c r="O64" s="17" t="str">
        <f aca="false">IF(L64="","",L64-M64-N64)</f>
        <v/>
      </c>
      <c r="P64" s="18" t="str">
        <f aca="false">IF(OR(L64="",L64=0),"",O64/L64)</f>
        <v/>
      </c>
    </row>
    <row r="65" customFormat="false" ht="15" hidden="false" customHeight="false" outlineLevel="0" collapsed="false">
      <c r="A65" s="6"/>
      <c r="B65" s="15"/>
      <c r="C65" s="6"/>
      <c r="D65" s="6"/>
      <c r="E65" s="6"/>
      <c r="F65" s="6"/>
      <c r="G65" s="6"/>
      <c r="H65" s="16"/>
      <c r="I65" s="16"/>
      <c r="J65" s="16"/>
      <c r="K65" s="16"/>
      <c r="L65" s="17" t="str">
        <f aca="false">IF(H65="","",H65+I65-J65-K65)</f>
        <v/>
      </c>
      <c r="M65" s="16"/>
      <c r="N65" s="16"/>
      <c r="O65" s="17" t="str">
        <f aca="false">IF(L65="","",L65-M65-N65)</f>
        <v/>
      </c>
      <c r="P65" s="18" t="str">
        <f aca="false">IF(OR(L65="",L65=0),"",O65/L65)</f>
        <v/>
      </c>
    </row>
    <row r="66" customFormat="false" ht="15" hidden="false" customHeight="false" outlineLevel="0" collapsed="false">
      <c r="A66" s="6"/>
      <c r="B66" s="15"/>
      <c r="C66" s="6"/>
      <c r="D66" s="6"/>
      <c r="E66" s="6"/>
      <c r="F66" s="6"/>
      <c r="G66" s="6"/>
      <c r="H66" s="16"/>
      <c r="I66" s="16"/>
      <c r="J66" s="16"/>
      <c r="K66" s="16"/>
      <c r="L66" s="17" t="str">
        <f aca="false">IF(H66="","",H66+I66-J66-K66)</f>
        <v/>
      </c>
      <c r="M66" s="16"/>
      <c r="N66" s="16"/>
      <c r="O66" s="17" t="str">
        <f aca="false">IF(L66="","",L66-M66-N66)</f>
        <v/>
      </c>
      <c r="P66" s="18" t="str">
        <f aca="false">IF(OR(L66="",L66=0),"",O66/L66)</f>
        <v/>
      </c>
    </row>
    <row r="67" customFormat="false" ht="15" hidden="false" customHeight="false" outlineLevel="0" collapsed="false">
      <c r="A67" s="6"/>
      <c r="B67" s="15"/>
      <c r="C67" s="6"/>
      <c r="D67" s="6"/>
      <c r="E67" s="6"/>
      <c r="F67" s="6"/>
      <c r="G67" s="6"/>
      <c r="H67" s="16"/>
      <c r="I67" s="16"/>
      <c r="J67" s="16"/>
      <c r="K67" s="16"/>
      <c r="L67" s="17" t="str">
        <f aca="false">IF(H67="","",H67+I67-J67-K67)</f>
        <v/>
      </c>
      <c r="M67" s="16"/>
      <c r="N67" s="16"/>
      <c r="O67" s="17" t="str">
        <f aca="false">IF(L67="","",L67-M67-N67)</f>
        <v/>
      </c>
      <c r="P67" s="18" t="str">
        <f aca="false">IF(OR(L67="",L67=0),"",O67/L67)</f>
        <v/>
      </c>
    </row>
    <row r="68" customFormat="false" ht="15" hidden="false" customHeight="false" outlineLevel="0" collapsed="false">
      <c r="A68" s="6"/>
      <c r="B68" s="15"/>
      <c r="C68" s="6"/>
      <c r="D68" s="6"/>
      <c r="E68" s="6"/>
      <c r="F68" s="6"/>
      <c r="G68" s="6"/>
      <c r="H68" s="16"/>
      <c r="I68" s="16"/>
      <c r="J68" s="16"/>
      <c r="K68" s="16"/>
      <c r="L68" s="17" t="str">
        <f aca="false">IF(H68="","",H68+I68-J68-K68)</f>
        <v/>
      </c>
      <c r="M68" s="16"/>
      <c r="N68" s="16"/>
      <c r="O68" s="17" t="str">
        <f aca="false">IF(L68="","",L68-M68-N68)</f>
        <v/>
      </c>
      <c r="P68" s="18" t="str">
        <f aca="false">IF(OR(L68="",L68=0),"",O68/L68)</f>
        <v/>
      </c>
    </row>
    <row r="69" customFormat="false" ht="15" hidden="false" customHeight="false" outlineLevel="0" collapsed="false">
      <c r="A69" s="6"/>
      <c r="B69" s="15"/>
      <c r="C69" s="6"/>
      <c r="D69" s="6"/>
      <c r="E69" s="6"/>
      <c r="F69" s="6"/>
      <c r="G69" s="6"/>
      <c r="H69" s="16"/>
      <c r="I69" s="16"/>
      <c r="J69" s="16"/>
      <c r="K69" s="16"/>
      <c r="L69" s="17" t="str">
        <f aca="false">IF(H69="","",H69+I69-J69-K69)</f>
        <v/>
      </c>
      <c r="M69" s="16"/>
      <c r="N69" s="16"/>
      <c r="O69" s="17" t="str">
        <f aca="false">IF(L69="","",L69-M69-N69)</f>
        <v/>
      </c>
      <c r="P69" s="18" t="str">
        <f aca="false">IF(OR(L69="",L69=0),"",O69/L69)</f>
        <v/>
      </c>
    </row>
    <row r="70" customFormat="false" ht="15" hidden="false" customHeight="false" outlineLevel="0" collapsed="false">
      <c r="A70" s="6"/>
      <c r="B70" s="15"/>
      <c r="C70" s="6"/>
      <c r="D70" s="6"/>
      <c r="E70" s="6"/>
      <c r="F70" s="6"/>
      <c r="G70" s="6"/>
      <c r="H70" s="16"/>
      <c r="I70" s="16"/>
      <c r="J70" s="16"/>
      <c r="K70" s="16"/>
      <c r="L70" s="17" t="str">
        <f aca="false">IF(H70="","",H70+I70-J70-K70)</f>
        <v/>
      </c>
      <c r="M70" s="16"/>
      <c r="N70" s="16"/>
      <c r="O70" s="17" t="str">
        <f aca="false">IF(L70="","",L70-M70-N70)</f>
        <v/>
      </c>
      <c r="P70" s="18" t="str">
        <f aca="false">IF(OR(L70="",L70=0),"",O70/L70)</f>
        <v/>
      </c>
    </row>
    <row r="71" customFormat="false" ht="15" hidden="false" customHeight="false" outlineLevel="0" collapsed="false">
      <c r="A71" s="6"/>
      <c r="B71" s="15"/>
      <c r="C71" s="6"/>
      <c r="D71" s="6"/>
      <c r="E71" s="6"/>
      <c r="F71" s="6"/>
      <c r="G71" s="6"/>
      <c r="H71" s="16"/>
      <c r="I71" s="16"/>
      <c r="J71" s="16"/>
      <c r="K71" s="16"/>
      <c r="L71" s="17" t="str">
        <f aca="false">IF(H71="","",H71+I71-J71-K71)</f>
        <v/>
      </c>
      <c r="M71" s="16"/>
      <c r="N71" s="16"/>
      <c r="O71" s="17" t="str">
        <f aca="false">IF(L71="","",L71-M71-N71)</f>
        <v/>
      </c>
      <c r="P71" s="18" t="str">
        <f aca="false">IF(OR(L71="",L71=0),"",O71/L71)</f>
        <v/>
      </c>
    </row>
    <row r="72" customFormat="false" ht="15" hidden="false" customHeight="false" outlineLevel="0" collapsed="false">
      <c r="A72" s="6"/>
      <c r="B72" s="15"/>
      <c r="C72" s="6"/>
      <c r="D72" s="6"/>
      <c r="E72" s="6"/>
      <c r="F72" s="6"/>
      <c r="G72" s="6"/>
      <c r="H72" s="16"/>
      <c r="I72" s="16"/>
      <c r="J72" s="16"/>
      <c r="K72" s="16"/>
      <c r="L72" s="17" t="str">
        <f aca="false">IF(H72="","",H72+I72-J72-K72)</f>
        <v/>
      </c>
      <c r="M72" s="16"/>
      <c r="N72" s="16"/>
      <c r="O72" s="17" t="str">
        <f aca="false">IF(L72="","",L72-M72-N72)</f>
        <v/>
      </c>
      <c r="P72" s="18" t="str">
        <f aca="false">IF(OR(L72="",L72=0),"",O72/L72)</f>
        <v/>
      </c>
    </row>
    <row r="73" customFormat="false" ht="15" hidden="false" customHeight="false" outlineLevel="0" collapsed="false">
      <c r="A73" s="6"/>
      <c r="B73" s="15"/>
      <c r="C73" s="6"/>
      <c r="D73" s="6"/>
      <c r="E73" s="6"/>
      <c r="F73" s="6"/>
      <c r="G73" s="6"/>
      <c r="H73" s="16"/>
      <c r="I73" s="16"/>
      <c r="J73" s="16"/>
      <c r="K73" s="16"/>
      <c r="L73" s="17" t="str">
        <f aca="false">IF(H73="","",H73+I73-J73-K73)</f>
        <v/>
      </c>
      <c r="M73" s="16"/>
      <c r="N73" s="16"/>
      <c r="O73" s="17" t="str">
        <f aca="false">IF(L73="","",L73-M73-N73)</f>
        <v/>
      </c>
      <c r="P73" s="18" t="str">
        <f aca="false">IF(OR(L73="",L73=0),"",O73/L73)</f>
        <v/>
      </c>
    </row>
    <row r="74" customFormat="false" ht="15" hidden="false" customHeight="false" outlineLevel="0" collapsed="false">
      <c r="A74" s="6"/>
      <c r="B74" s="15"/>
      <c r="C74" s="6"/>
      <c r="D74" s="6"/>
      <c r="E74" s="6"/>
      <c r="F74" s="6"/>
      <c r="G74" s="6"/>
      <c r="H74" s="16"/>
      <c r="I74" s="16"/>
      <c r="J74" s="16"/>
      <c r="K74" s="16"/>
      <c r="L74" s="17" t="str">
        <f aca="false">IF(H74="","",H74+I74-J74-K74)</f>
        <v/>
      </c>
      <c r="M74" s="16"/>
      <c r="N74" s="16"/>
      <c r="O74" s="17" t="str">
        <f aca="false">IF(L74="","",L74-M74-N74)</f>
        <v/>
      </c>
      <c r="P74" s="18" t="str">
        <f aca="false">IF(OR(L74="",L74=0),"",O74/L74)</f>
        <v/>
      </c>
    </row>
    <row r="75" customFormat="false" ht="15" hidden="false" customHeight="false" outlineLevel="0" collapsed="false">
      <c r="A75" s="6"/>
      <c r="B75" s="15"/>
      <c r="C75" s="6"/>
      <c r="D75" s="6"/>
      <c r="E75" s="6"/>
      <c r="F75" s="6"/>
      <c r="G75" s="6"/>
      <c r="H75" s="16"/>
      <c r="I75" s="16"/>
      <c r="J75" s="16"/>
      <c r="K75" s="16"/>
      <c r="L75" s="17" t="str">
        <f aca="false">IF(H75="","",H75+I75-J75-K75)</f>
        <v/>
      </c>
      <c r="M75" s="16"/>
      <c r="N75" s="16"/>
      <c r="O75" s="17" t="str">
        <f aca="false">IF(L75="","",L75-M75-N75)</f>
        <v/>
      </c>
      <c r="P75" s="18" t="str">
        <f aca="false">IF(OR(L75="",L75=0),"",O75/L75)</f>
        <v/>
      </c>
    </row>
    <row r="76" customFormat="false" ht="15" hidden="false" customHeight="false" outlineLevel="0" collapsed="false">
      <c r="A76" s="6"/>
      <c r="B76" s="15"/>
      <c r="C76" s="6"/>
      <c r="D76" s="6"/>
      <c r="E76" s="6"/>
      <c r="F76" s="6"/>
      <c r="G76" s="6"/>
      <c r="H76" s="16"/>
      <c r="I76" s="16"/>
      <c r="J76" s="16"/>
      <c r="K76" s="16"/>
      <c r="L76" s="17" t="str">
        <f aca="false">IF(H76="","",H76+I76-J76-K76)</f>
        <v/>
      </c>
      <c r="M76" s="16"/>
      <c r="N76" s="16"/>
      <c r="O76" s="17" t="str">
        <f aca="false">IF(L76="","",L76-M76-N76)</f>
        <v/>
      </c>
      <c r="P76" s="18" t="str">
        <f aca="false">IF(OR(L76="",L76=0),"",O76/L76)</f>
        <v/>
      </c>
    </row>
    <row r="77" customFormat="false" ht="15" hidden="false" customHeight="false" outlineLevel="0" collapsed="false">
      <c r="A77" s="6"/>
      <c r="B77" s="15"/>
      <c r="C77" s="6"/>
      <c r="D77" s="6"/>
      <c r="E77" s="6"/>
      <c r="F77" s="6"/>
      <c r="G77" s="6"/>
      <c r="H77" s="16"/>
      <c r="I77" s="16"/>
      <c r="J77" s="16"/>
      <c r="K77" s="16"/>
      <c r="L77" s="17" t="str">
        <f aca="false">IF(H77="","",H77+I77-J77-K77)</f>
        <v/>
      </c>
      <c r="M77" s="16"/>
      <c r="N77" s="16"/>
      <c r="O77" s="17" t="str">
        <f aca="false">IF(L77="","",L77-M77-N77)</f>
        <v/>
      </c>
      <c r="P77" s="18" t="str">
        <f aca="false">IF(OR(L77="",L77=0),"",O77/L77)</f>
        <v/>
      </c>
    </row>
    <row r="78" customFormat="false" ht="15" hidden="false" customHeight="false" outlineLevel="0" collapsed="false">
      <c r="A78" s="6"/>
      <c r="B78" s="15"/>
      <c r="C78" s="6"/>
      <c r="D78" s="6"/>
      <c r="E78" s="6"/>
      <c r="F78" s="6"/>
      <c r="G78" s="6"/>
      <c r="H78" s="16"/>
      <c r="I78" s="16"/>
      <c r="J78" s="16"/>
      <c r="K78" s="16"/>
      <c r="L78" s="17" t="str">
        <f aca="false">IF(H78="","",H78+I78-J78-K78)</f>
        <v/>
      </c>
      <c r="M78" s="16"/>
      <c r="N78" s="16"/>
      <c r="O78" s="17" t="str">
        <f aca="false">IF(L78="","",L78-M78-N78)</f>
        <v/>
      </c>
      <c r="P78" s="18" t="str">
        <f aca="false">IF(OR(L78="",L78=0),"",O78/L78)</f>
        <v/>
      </c>
    </row>
    <row r="79" customFormat="false" ht="15" hidden="false" customHeight="false" outlineLevel="0" collapsed="false">
      <c r="A79" s="6"/>
      <c r="B79" s="15"/>
      <c r="C79" s="6"/>
      <c r="D79" s="6"/>
      <c r="E79" s="6"/>
      <c r="F79" s="6"/>
      <c r="G79" s="6"/>
      <c r="H79" s="16"/>
      <c r="I79" s="16"/>
      <c r="J79" s="16"/>
      <c r="K79" s="16"/>
      <c r="L79" s="17" t="str">
        <f aca="false">IF(H79="","",H79+I79-J79-K79)</f>
        <v/>
      </c>
      <c r="M79" s="16"/>
      <c r="N79" s="16"/>
      <c r="O79" s="17" t="str">
        <f aca="false">IF(L79="","",L79-M79-N79)</f>
        <v/>
      </c>
      <c r="P79" s="18" t="str">
        <f aca="false">IF(OR(L79="",L79=0),"",O79/L79)</f>
        <v/>
      </c>
    </row>
    <row r="80" customFormat="false" ht="15" hidden="false" customHeight="false" outlineLevel="0" collapsed="false">
      <c r="A80" s="6"/>
      <c r="B80" s="15"/>
      <c r="C80" s="6"/>
      <c r="D80" s="6"/>
      <c r="E80" s="6"/>
      <c r="F80" s="6"/>
      <c r="G80" s="6"/>
      <c r="H80" s="16"/>
      <c r="I80" s="16"/>
      <c r="J80" s="16"/>
      <c r="K80" s="16"/>
      <c r="L80" s="17" t="str">
        <f aca="false">IF(H80="","",H80+I80-J80-K80)</f>
        <v/>
      </c>
      <c r="M80" s="16"/>
      <c r="N80" s="16"/>
      <c r="O80" s="17" t="str">
        <f aca="false">IF(L80="","",L80-M80-N80)</f>
        <v/>
      </c>
      <c r="P80" s="18" t="str">
        <f aca="false">IF(OR(L80="",L80=0),"",O80/L80)</f>
        <v/>
      </c>
    </row>
    <row r="81" customFormat="false" ht="15" hidden="false" customHeight="false" outlineLevel="0" collapsed="false">
      <c r="A81" s="6"/>
      <c r="B81" s="15"/>
      <c r="C81" s="6"/>
      <c r="D81" s="6"/>
      <c r="E81" s="6"/>
      <c r="F81" s="6"/>
      <c r="G81" s="6"/>
      <c r="H81" s="16"/>
      <c r="I81" s="16"/>
      <c r="J81" s="16"/>
      <c r="K81" s="16"/>
      <c r="L81" s="17" t="str">
        <f aca="false">IF(H81="","",H81+I81-J81-K81)</f>
        <v/>
      </c>
      <c r="M81" s="16"/>
      <c r="N81" s="16"/>
      <c r="O81" s="17" t="str">
        <f aca="false">IF(L81="","",L81-M81-N81)</f>
        <v/>
      </c>
      <c r="P81" s="18" t="str">
        <f aca="false">IF(OR(L81="",L81=0),"",O81/L81)</f>
        <v/>
      </c>
    </row>
    <row r="82" customFormat="false" ht="15" hidden="false" customHeight="false" outlineLevel="0" collapsed="false">
      <c r="A82" s="6"/>
      <c r="B82" s="15"/>
      <c r="C82" s="6"/>
      <c r="D82" s="6"/>
      <c r="E82" s="6"/>
      <c r="F82" s="6"/>
      <c r="G82" s="6"/>
      <c r="H82" s="16"/>
      <c r="I82" s="16"/>
      <c r="J82" s="16"/>
      <c r="K82" s="16"/>
      <c r="L82" s="17" t="str">
        <f aca="false">IF(H82="","",H82+I82-J82-K82)</f>
        <v/>
      </c>
      <c r="M82" s="16"/>
      <c r="N82" s="16"/>
      <c r="O82" s="17" t="str">
        <f aca="false">IF(L82="","",L82-M82-N82)</f>
        <v/>
      </c>
      <c r="P82" s="18" t="str">
        <f aca="false">IF(OR(L82="",L82=0),"",O82/L82)</f>
        <v/>
      </c>
    </row>
    <row r="83" customFormat="false" ht="15" hidden="false" customHeight="false" outlineLevel="0" collapsed="false">
      <c r="A83" s="6"/>
      <c r="B83" s="15"/>
      <c r="C83" s="6"/>
      <c r="D83" s="6"/>
      <c r="E83" s="6"/>
      <c r="F83" s="6"/>
      <c r="G83" s="6"/>
      <c r="H83" s="16"/>
      <c r="I83" s="16"/>
      <c r="J83" s="16"/>
      <c r="K83" s="16"/>
      <c r="L83" s="17" t="str">
        <f aca="false">IF(H83="","",H83+I83-J83-K83)</f>
        <v/>
      </c>
      <c r="M83" s="16"/>
      <c r="N83" s="16"/>
      <c r="O83" s="17" t="str">
        <f aca="false">IF(L83="","",L83-M83-N83)</f>
        <v/>
      </c>
      <c r="P83" s="18" t="str">
        <f aca="false">IF(OR(L83="",L83=0),"",O83/L83)</f>
        <v/>
      </c>
    </row>
    <row r="84" customFormat="false" ht="15" hidden="false" customHeight="false" outlineLevel="0" collapsed="false">
      <c r="A84" s="6"/>
      <c r="B84" s="15"/>
      <c r="C84" s="6"/>
      <c r="D84" s="6"/>
      <c r="E84" s="6"/>
      <c r="F84" s="6"/>
      <c r="G84" s="6"/>
      <c r="H84" s="16"/>
      <c r="I84" s="16"/>
      <c r="J84" s="16"/>
      <c r="K84" s="16"/>
      <c r="L84" s="17" t="str">
        <f aca="false">IF(H84="","",H84+I84-J84-K84)</f>
        <v/>
      </c>
      <c r="M84" s="16"/>
      <c r="N84" s="16"/>
      <c r="O84" s="17" t="str">
        <f aca="false">IF(L84="","",L84-M84-N84)</f>
        <v/>
      </c>
      <c r="P84" s="18" t="str">
        <f aca="false">IF(OR(L84="",L84=0),"",O84/L84)</f>
        <v/>
      </c>
    </row>
    <row r="85" customFormat="false" ht="15" hidden="false" customHeight="false" outlineLevel="0" collapsed="false">
      <c r="A85" s="6"/>
      <c r="B85" s="15"/>
      <c r="C85" s="6"/>
      <c r="D85" s="6"/>
      <c r="E85" s="6"/>
      <c r="F85" s="6"/>
      <c r="G85" s="6"/>
      <c r="H85" s="16"/>
      <c r="I85" s="16"/>
      <c r="J85" s="16"/>
      <c r="K85" s="16"/>
      <c r="L85" s="17" t="str">
        <f aca="false">IF(H85="","",H85+I85-J85-K85)</f>
        <v/>
      </c>
      <c r="M85" s="16"/>
      <c r="N85" s="16"/>
      <c r="O85" s="17" t="str">
        <f aca="false">IF(L85="","",L85-M85-N85)</f>
        <v/>
      </c>
      <c r="P85" s="18" t="str">
        <f aca="false">IF(OR(L85="",L85=0),"",O85/L85)</f>
        <v/>
      </c>
    </row>
    <row r="86" customFormat="false" ht="15" hidden="false" customHeight="false" outlineLevel="0" collapsed="false">
      <c r="A86" s="6"/>
      <c r="B86" s="15"/>
      <c r="C86" s="6"/>
      <c r="D86" s="6"/>
      <c r="E86" s="6"/>
      <c r="F86" s="6"/>
      <c r="G86" s="6"/>
      <c r="H86" s="16"/>
      <c r="I86" s="16"/>
      <c r="J86" s="16"/>
      <c r="K86" s="16"/>
      <c r="L86" s="17" t="str">
        <f aca="false">IF(H86="","",H86+I86-J86-K86)</f>
        <v/>
      </c>
      <c r="M86" s="16"/>
      <c r="N86" s="16"/>
      <c r="O86" s="17" t="str">
        <f aca="false">IF(L86="","",L86-M86-N86)</f>
        <v/>
      </c>
      <c r="P86" s="18" t="str">
        <f aca="false">IF(OR(L86="",L86=0),"",O86/L86)</f>
        <v/>
      </c>
    </row>
    <row r="87" customFormat="false" ht="15" hidden="false" customHeight="false" outlineLevel="0" collapsed="false">
      <c r="A87" s="6"/>
      <c r="B87" s="15"/>
      <c r="C87" s="6"/>
      <c r="D87" s="6"/>
      <c r="E87" s="6"/>
      <c r="F87" s="6"/>
      <c r="G87" s="6"/>
      <c r="H87" s="16"/>
      <c r="I87" s="16"/>
      <c r="J87" s="16"/>
      <c r="K87" s="16"/>
      <c r="L87" s="17" t="str">
        <f aca="false">IF(H87="","",H87+I87-J87-K87)</f>
        <v/>
      </c>
      <c r="M87" s="16"/>
      <c r="N87" s="16"/>
      <c r="O87" s="17" t="str">
        <f aca="false">IF(L87="","",L87-M87-N87)</f>
        <v/>
      </c>
      <c r="P87" s="18" t="str">
        <f aca="false">IF(OR(L87="",L87=0),"",O87/L87)</f>
        <v/>
      </c>
    </row>
    <row r="88" customFormat="false" ht="15" hidden="false" customHeight="false" outlineLevel="0" collapsed="false">
      <c r="A88" s="6"/>
      <c r="B88" s="15"/>
      <c r="C88" s="6"/>
      <c r="D88" s="6"/>
      <c r="E88" s="6"/>
      <c r="F88" s="6"/>
      <c r="G88" s="6"/>
      <c r="H88" s="16"/>
      <c r="I88" s="16"/>
      <c r="J88" s="16"/>
      <c r="K88" s="16"/>
      <c r="L88" s="17" t="str">
        <f aca="false">IF(H88="","",H88+I88-J88-K88)</f>
        <v/>
      </c>
      <c r="M88" s="16"/>
      <c r="N88" s="16"/>
      <c r="O88" s="17" t="str">
        <f aca="false">IF(L88="","",L88-M88-N88)</f>
        <v/>
      </c>
      <c r="P88" s="18" t="str">
        <f aca="false">IF(OR(L88="",L88=0),"",O88/L88)</f>
        <v/>
      </c>
    </row>
    <row r="89" customFormat="false" ht="15" hidden="false" customHeight="false" outlineLevel="0" collapsed="false">
      <c r="A89" s="6"/>
      <c r="B89" s="15"/>
      <c r="C89" s="6"/>
      <c r="D89" s="6"/>
      <c r="E89" s="6"/>
      <c r="F89" s="6"/>
      <c r="G89" s="6"/>
      <c r="H89" s="16"/>
      <c r="I89" s="16"/>
      <c r="J89" s="16"/>
      <c r="K89" s="16"/>
      <c r="L89" s="17" t="str">
        <f aca="false">IF(H89="","",H89+I89-J89-K89)</f>
        <v/>
      </c>
      <c r="M89" s="16"/>
      <c r="N89" s="16"/>
      <c r="O89" s="17" t="str">
        <f aca="false">IF(L89="","",L89-M89-N89)</f>
        <v/>
      </c>
      <c r="P89" s="18" t="str">
        <f aca="false">IF(OR(L89="",L89=0),"",O89/L89)</f>
        <v/>
      </c>
    </row>
    <row r="90" customFormat="false" ht="15" hidden="false" customHeight="false" outlineLevel="0" collapsed="false">
      <c r="A90" s="6"/>
      <c r="B90" s="15"/>
      <c r="C90" s="6"/>
      <c r="D90" s="6"/>
      <c r="E90" s="6"/>
      <c r="F90" s="6"/>
      <c r="G90" s="6"/>
      <c r="H90" s="16"/>
      <c r="I90" s="16"/>
      <c r="J90" s="16"/>
      <c r="K90" s="16"/>
      <c r="L90" s="17" t="str">
        <f aca="false">IF(H90="","",H90+I90-J90-K90)</f>
        <v/>
      </c>
      <c r="M90" s="16"/>
      <c r="N90" s="16"/>
      <c r="O90" s="17" t="str">
        <f aca="false">IF(L90="","",L90-M90-N90)</f>
        <v/>
      </c>
      <c r="P90" s="18" t="str">
        <f aca="false">IF(OR(L90="",L90=0),"",O90/L90)</f>
        <v/>
      </c>
    </row>
    <row r="91" customFormat="false" ht="15" hidden="false" customHeight="false" outlineLevel="0" collapsed="false">
      <c r="A91" s="6"/>
      <c r="B91" s="15"/>
      <c r="C91" s="6"/>
      <c r="D91" s="6"/>
      <c r="E91" s="6"/>
      <c r="F91" s="6"/>
      <c r="G91" s="6"/>
      <c r="H91" s="16"/>
      <c r="I91" s="16"/>
      <c r="J91" s="16"/>
      <c r="K91" s="16"/>
      <c r="L91" s="17" t="str">
        <f aca="false">IF(H91="","",H91+I91-J91-K91)</f>
        <v/>
      </c>
      <c r="M91" s="16"/>
      <c r="N91" s="16"/>
      <c r="O91" s="17" t="str">
        <f aca="false">IF(L91="","",L91-M91-N91)</f>
        <v/>
      </c>
      <c r="P91" s="18" t="str">
        <f aca="false">IF(OR(L91="",L91=0),"",O91/L91)</f>
        <v/>
      </c>
    </row>
    <row r="92" customFormat="false" ht="15" hidden="false" customHeight="false" outlineLevel="0" collapsed="false">
      <c r="A92" s="6"/>
      <c r="B92" s="15"/>
      <c r="C92" s="6"/>
      <c r="D92" s="6"/>
      <c r="E92" s="6"/>
      <c r="F92" s="6"/>
      <c r="G92" s="6"/>
      <c r="H92" s="16"/>
      <c r="I92" s="16"/>
      <c r="J92" s="16"/>
      <c r="K92" s="16"/>
      <c r="L92" s="17" t="str">
        <f aca="false">IF(H92="","",H92+I92-J92-K92)</f>
        <v/>
      </c>
      <c r="M92" s="16"/>
      <c r="N92" s="16"/>
      <c r="O92" s="17" t="str">
        <f aca="false">IF(L92="","",L92-M92-N92)</f>
        <v/>
      </c>
      <c r="P92" s="18" t="str">
        <f aca="false">IF(OR(L92="",L92=0),"",O92/L92)</f>
        <v/>
      </c>
    </row>
    <row r="93" customFormat="false" ht="15" hidden="false" customHeight="false" outlineLevel="0" collapsed="false">
      <c r="A93" s="6"/>
      <c r="B93" s="15"/>
      <c r="C93" s="6"/>
      <c r="D93" s="6"/>
      <c r="E93" s="6"/>
      <c r="F93" s="6"/>
      <c r="G93" s="6"/>
      <c r="H93" s="16"/>
      <c r="I93" s="16"/>
      <c r="J93" s="16"/>
      <c r="K93" s="16"/>
      <c r="L93" s="17" t="str">
        <f aca="false">IF(H93="","",H93+I93-J93-K93)</f>
        <v/>
      </c>
      <c r="M93" s="16"/>
      <c r="N93" s="16"/>
      <c r="O93" s="17" t="str">
        <f aca="false">IF(L93="","",L93-M93-N93)</f>
        <v/>
      </c>
      <c r="P93" s="18" t="str">
        <f aca="false">IF(OR(L93="",L93=0),"",O93/L93)</f>
        <v/>
      </c>
    </row>
    <row r="94" customFormat="false" ht="15" hidden="false" customHeight="false" outlineLevel="0" collapsed="false">
      <c r="A94" s="6"/>
      <c r="B94" s="15"/>
      <c r="C94" s="6"/>
      <c r="D94" s="6"/>
      <c r="E94" s="6"/>
      <c r="F94" s="6"/>
      <c r="G94" s="6"/>
      <c r="H94" s="16"/>
      <c r="I94" s="16"/>
      <c r="J94" s="16"/>
      <c r="K94" s="16"/>
      <c r="L94" s="17" t="str">
        <f aca="false">IF(H94="","",H94+I94-J94-K94)</f>
        <v/>
      </c>
      <c r="M94" s="16"/>
      <c r="N94" s="16"/>
      <c r="O94" s="17" t="str">
        <f aca="false">IF(L94="","",L94-M94-N94)</f>
        <v/>
      </c>
      <c r="P94" s="18" t="str">
        <f aca="false">IF(OR(L94="",L94=0),"",O94/L94)</f>
        <v/>
      </c>
    </row>
    <row r="95" customFormat="false" ht="15" hidden="false" customHeight="false" outlineLevel="0" collapsed="false">
      <c r="A95" s="6"/>
      <c r="B95" s="15"/>
      <c r="C95" s="6"/>
      <c r="D95" s="6"/>
      <c r="E95" s="6"/>
      <c r="F95" s="6"/>
      <c r="G95" s="6"/>
      <c r="H95" s="16"/>
      <c r="I95" s="16"/>
      <c r="J95" s="16"/>
      <c r="K95" s="16"/>
      <c r="L95" s="17" t="str">
        <f aca="false">IF(H95="","",H95+I95-J95-K95)</f>
        <v/>
      </c>
      <c r="M95" s="16"/>
      <c r="N95" s="16"/>
      <c r="O95" s="17" t="str">
        <f aca="false">IF(L95="","",L95-M95-N95)</f>
        <v/>
      </c>
      <c r="P95" s="18" t="str">
        <f aca="false">IF(OR(L95="",L95=0),"",O95/L95)</f>
        <v/>
      </c>
    </row>
    <row r="96" customFormat="false" ht="15" hidden="false" customHeight="false" outlineLevel="0" collapsed="false">
      <c r="A96" s="6"/>
      <c r="B96" s="15"/>
      <c r="C96" s="6"/>
      <c r="D96" s="6"/>
      <c r="E96" s="6"/>
      <c r="F96" s="6"/>
      <c r="G96" s="6"/>
      <c r="H96" s="16"/>
      <c r="I96" s="16"/>
      <c r="J96" s="16"/>
      <c r="K96" s="16"/>
      <c r="L96" s="17" t="str">
        <f aca="false">IF(H96="","",H96+I96-J96-K96)</f>
        <v/>
      </c>
      <c r="M96" s="16"/>
      <c r="N96" s="16"/>
      <c r="O96" s="17" t="str">
        <f aca="false">IF(L96="","",L96-M96-N96)</f>
        <v/>
      </c>
      <c r="P96" s="18" t="str">
        <f aca="false">IF(OR(L96="",L96=0),"",O96/L96)</f>
        <v/>
      </c>
    </row>
    <row r="97" customFormat="false" ht="15" hidden="false" customHeight="false" outlineLevel="0" collapsed="false">
      <c r="A97" s="6"/>
      <c r="B97" s="15"/>
      <c r="C97" s="6"/>
      <c r="D97" s="6"/>
      <c r="E97" s="6"/>
      <c r="F97" s="6"/>
      <c r="G97" s="6"/>
      <c r="H97" s="16"/>
      <c r="I97" s="16"/>
      <c r="J97" s="16"/>
      <c r="K97" s="16"/>
      <c r="L97" s="17" t="str">
        <f aca="false">IF(H97="","",H97+I97-J97-K97)</f>
        <v/>
      </c>
      <c r="M97" s="16"/>
      <c r="N97" s="16"/>
      <c r="O97" s="17" t="str">
        <f aca="false">IF(L97="","",L97-M97-N97)</f>
        <v/>
      </c>
      <c r="P97" s="18" t="str">
        <f aca="false">IF(OR(L97="",L97=0),"",O97/L97)</f>
        <v/>
      </c>
    </row>
    <row r="98" customFormat="false" ht="15" hidden="false" customHeight="false" outlineLevel="0" collapsed="false">
      <c r="A98" s="6"/>
      <c r="B98" s="15"/>
      <c r="C98" s="6"/>
      <c r="D98" s="6"/>
      <c r="E98" s="6"/>
      <c r="F98" s="6"/>
      <c r="G98" s="6"/>
      <c r="H98" s="16"/>
      <c r="I98" s="16"/>
      <c r="J98" s="16"/>
      <c r="K98" s="16"/>
      <c r="L98" s="17" t="str">
        <f aca="false">IF(H98="","",H98+I98-J98-K98)</f>
        <v/>
      </c>
      <c r="M98" s="16"/>
      <c r="N98" s="16"/>
      <c r="O98" s="17" t="str">
        <f aca="false">IF(L98="","",L98-M98-N98)</f>
        <v/>
      </c>
      <c r="P98" s="18" t="str">
        <f aca="false">IF(OR(L98="",L98=0),"",O98/L98)</f>
        <v/>
      </c>
    </row>
    <row r="99" customFormat="false" ht="15" hidden="false" customHeight="false" outlineLevel="0" collapsed="false">
      <c r="A99" s="6"/>
      <c r="B99" s="15"/>
      <c r="C99" s="6"/>
      <c r="D99" s="6"/>
      <c r="E99" s="6"/>
      <c r="F99" s="6"/>
      <c r="G99" s="6"/>
      <c r="H99" s="16"/>
      <c r="I99" s="16"/>
      <c r="J99" s="16"/>
      <c r="K99" s="16"/>
      <c r="L99" s="17" t="str">
        <f aca="false">IF(H99="","",H99+I99-J99-K99)</f>
        <v/>
      </c>
      <c r="M99" s="16"/>
      <c r="N99" s="16"/>
      <c r="O99" s="17" t="str">
        <f aca="false">IF(L99="","",L99-M99-N99)</f>
        <v/>
      </c>
      <c r="P99" s="18" t="str">
        <f aca="false">IF(OR(L99="",L99=0),"",O99/L99)</f>
        <v/>
      </c>
    </row>
    <row r="100" customFormat="false" ht="15" hidden="false" customHeight="false" outlineLevel="0" collapsed="false">
      <c r="A100" s="6"/>
      <c r="B100" s="15"/>
      <c r="C100" s="6"/>
      <c r="D100" s="6"/>
      <c r="E100" s="6"/>
      <c r="F100" s="6"/>
      <c r="G100" s="6"/>
      <c r="H100" s="16"/>
      <c r="I100" s="16"/>
      <c r="J100" s="16"/>
      <c r="K100" s="16"/>
      <c r="L100" s="17" t="str">
        <f aca="false">IF(H100="","",H100+I100-J100-K100)</f>
        <v/>
      </c>
      <c r="M100" s="16"/>
      <c r="N100" s="16"/>
      <c r="O100" s="17" t="str">
        <f aca="false">IF(L100="","",L100-M100-N100)</f>
        <v/>
      </c>
      <c r="P100" s="18" t="str">
        <f aca="false">IF(OR(L100="",L100=0),"",O100/L100)</f>
        <v/>
      </c>
    </row>
    <row r="101" customFormat="false" ht="15" hidden="false" customHeight="false" outlineLevel="0" collapsed="false">
      <c r="A101" s="6"/>
      <c r="B101" s="15"/>
      <c r="C101" s="6"/>
      <c r="D101" s="6"/>
      <c r="E101" s="6"/>
      <c r="F101" s="6"/>
      <c r="G101" s="6"/>
      <c r="H101" s="16"/>
      <c r="I101" s="16"/>
      <c r="J101" s="16"/>
      <c r="K101" s="16"/>
      <c r="L101" s="17" t="str">
        <f aca="false">IF(H101="","",H101+I101-J101-K101)</f>
        <v/>
      </c>
      <c r="M101" s="16"/>
      <c r="N101" s="16"/>
      <c r="O101" s="17" t="str">
        <f aca="false">IF(L101="","",L101-M101-N101)</f>
        <v/>
      </c>
      <c r="P101" s="18" t="str">
        <f aca="false">IF(OR(L101="",L101=0),"",O101/L101)</f>
        <v/>
      </c>
    </row>
    <row r="102" customFormat="false" ht="15" hidden="false" customHeight="false" outlineLevel="0" collapsed="false">
      <c r="A102" s="6"/>
      <c r="B102" s="15"/>
      <c r="C102" s="6"/>
      <c r="D102" s="6"/>
      <c r="E102" s="6"/>
      <c r="F102" s="6"/>
      <c r="G102" s="6"/>
      <c r="H102" s="16"/>
      <c r="I102" s="16"/>
      <c r="J102" s="16"/>
      <c r="K102" s="16"/>
      <c r="L102" s="17" t="str">
        <f aca="false">IF(H102="","",H102+I102-J102-K102)</f>
        <v/>
      </c>
      <c r="M102" s="16"/>
      <c r="N102" s="16"/>
      <c r="O102" s="17" t="str">
        <f aca="false">IF(L102="","",L102-M102-N102)</f>
        <v/>
      </c>
      <c r="P102" s="18" t="str">
        <f aca="false">IF(OR(L102="",L102=0),"",O102/L102)</f>
        <v/>
      </c>
    </row>
    <row r="103" customFormat="false" ht="15" hidden="false" customHeight="false" outlineLevel="0" collapsed="false">
      <c r="A103" s="6"/>
      <c r="B103" s="15"/>
      <c r="C103" s="6"/>
      <c r="D103" s="6"/>
      <c r="E103" s="6"/>
      <c r="F103" s="6"/>
      <c r="G103" s="6"/>
      <c r="H103" s="16"/>
      <c r="I103" s="16"/>
      <c r="J103" s="16"/>
      <c r="K103" s="16"/>
      <c r="L103" s="17" t="str">
        <f aca="false">IF(H103="","",H103+I103-J103-K103)</f>
        <v/>
      </c>
      <c r="M103" s="16"/>
      <c r="N103" s="16"/>
      <c r="O103" s="17" t="str">
        <f aca="false">IF(L103="","",L103-M103-N103)</f>
        <v/>
      </c>
      <c r="P103" s="18" t="str">
        <f aca="false">IF(OR(L103="",L103=0),"",O103/L103)</f>
        <v/>
      </c>
    </row>
    <row r="104" customFormat="false" ht="15" hidden="false" customHeight="false" outlineLevel="0" collapsed="false">
      <c r="A104" s="6"/>
      <c r="B104" s="15"/>
      <c r="C104" s="6"/>
      <c r="D104" s="6"/>
      <c r="E104" s="6"/>
      <c r="F104" s="6"/>
      <c r="G104" s="6"/>
      <c r="H104" s="16"/>
      <c r="I104" s="16"/>
      <c r="J104" s="16"/>
      <c r="K104" s="16"/>
      <c r="L104" s="17" t="str">
        <f aca="false">IF(H104="","",H104+I104-J104-K104)</f>
        <v/>
      </c>
      <c r="M104" s="16"/>
      <c r="N104" s="16"/>
      <c r="O104" s="17" t="str">
        <f aca="false">IF(L104="","",L104-M104-N104)</f>
        <v/>
      </c>
      <c r="P104" s="18" t="str">
        <f aca="false">IF(OR(L104="",L104=0),"",O104/L104)</f>
        <v/>
      </c>
    </row>
    <row r="105" customFormat="false" ht="15" hidden="false" customHeight="false" outlineLevel="0" collapsed="false">
      <c r="A105" s="6"/>
      <c r="B105" s="15"/>
      <c r="C105" s="6"/>
      <c r="D105" s="6"/>
      <c r="E105" s="6"/>
      <c r="F105" s="6"/>
      <c r="G105" s="6"/>
      <c r="H105" s="16"/>
      <c r="I105" s="16"/>
      <c r="J105" s="16"/>
      <c r="K105" s="16"/>
      <c r="L105" s="17" t="str">
        <f aca="false">IF(H105="","",H105+I105-J105-K105)</f>
        <v/>
      </c>
      <c r="M105" s="16"/>
      <c r="N105" s="16"/>
      <c r="O105" s="17" t="str">
        <f aca="false">IF(L105="","",L105-M105-N105)</f>
        <v/>
      </c>
      <c r="P105" s="18" t="str">
        <f aca="false">IF(OR(L105="",L105=0),"",O105/L105)</f>
        <v/>
      </c>
    </row>
    <row r="106" customFormat="false" ht="15" hidden="false" customHeight="false" outlineLevel="0" collapsed="false">
      <c r="A106" s="6"/>
      <c r="B106" s="15"/>
      <c r="C106" s="6"/>
      <c r="D106" s="6"/>
      <c r="E106" s="6"/>
      <c r="F106" s="6"/>
      <c r="G106" s="6"/>
      <c r="H106" s="16"/>
      <c r="I106" s="16"/>
      <c r="J106" s="16"/>
      <c r="K106" s="16"/>
      <c r="L106" s="17" t="str">
        <f aca="false">IF(H106="","",H106+I106-J106-K106)</f>
        <v/>
      </c>
      <c r="M106" s="16"/>
      <c r="N106" s="16"/>
      <c r="O106" s="17" t="str">
        <f aca="false">IF(L106="","",L106-M106-N106)</f>
        <v/>
      </c>
      <c r="P106" s="18" t="str">
        <f aca="false">IF(OR(L106="",L106=0),"",O106/L106)</f>
        <v/>
      </c>
    </row>
    <row r="107" customFormat="false" ht="15" hidden="false" customHeight="false" outlineLevel="0" collapsed="false">
      <c r="A107" s="6"/>
      <c r="B107" s="15"/>
      <c r="C107" s="6"/>
      <c r="D107" s="6"/>
      <c r="E107" s="6"/>
      <c r="F107" s="6"/>
      <c r="G107" s="6"/>
      <c r="H107" s="16"/>
      <c r="I107" s="16"/>
      <c r="J107" s="16"/>
      <c r="K107" s="16"/>
      <c r="L107" s="17" t="str">
        <f aca="false">IF(H107="","",H107+I107-J107-K107)</f>
        <v/>
      </c>
      <c r="M107" s="16"/>
      <c r="N107" s="16"/>
      <c r="O107" s="17" t="str">
        <f aca="false">IF(L107="","",L107-M107-N107)</f>
        <v/>
      </c>
      <c r="P107" s="18" t="str">
        <f aca="false">IF(OR(L107="",L107=0),"",O107/L107)</f>
        <v/>
      </c>
    </row>
    <row r="108" customFormat="false" ht="15" hidden="false" customHeight="false" outlineLevel="0" collapsed="false">
      <c r="A108" s="6"/>
      <c r="B108" s="15"/>
      <c r="C108" s="6"/>
      <c r="D108" s="6"/>
      <c r="E108" s="6"/>
      <c r="F108" s="6"/>
      <c r="G108" s="6"/>
      <c r="H108" s="16"/>
      <c r="I108" s="16"/>
      <c r="J108" s="16"/>
      <c r="K108" s="16"/>
      <c r="L108" s="17" t="str">
        <f aca="false">IF(H108="","",H108+I108-J108-K108)</f>
        <v/>
      </c>
      <c r="M108" s="16"/>
      <c r="N108" s="16"/>
      <c r="O108" s="17" t="str">
        <f aca="false">IF(L108="","",L108-M108-N108)</f>
        <v/>
      </c>
      <c r="P108" s="18" t="str">
        <f aca="false">IF(OR(L108="",L108=0),"",O108/L108)</f>
        <v/>
      </c>
    </row>
    <row r="109" customFormat="false" ht="15" hidden="false" customHeight="false" outlineLevel="0" collapsed="false">
      <c r="A109" s="6"/>
      <c r="B109" s="15"/>
      <c r="C109" s="6"/>
      <c r="D109" s="6"/>
      <c r="E109" s="6"/>
      <c r="F109" s="6"/>
      <c r="G109" s="6"/>
      <c r="H109" s="16"/>
      <c r="I109" s="16"/>
      <c r="J109" s="16"/>
      <c r="K109" s="16"/>
      <c r="L109" s="17" t="str">
        <f aca="false">IF(H109="","",H109+I109-J109-K109)</f>
        <v/>
      </c>
      <c r="M109" s="16"/>
      <c r="N109" s="16"/>
      <c r="O109" s="17" t="str">
        <f aca="false">IF(L109="","",L109-M109-N109)</f>
        <v/>
      </c>
      <c r="P109" s="18" t="str">
        <f aca="false">IF(OR(L109="",L109=0),"",O109/L109)</f>
        <v/>
      </c>
    </row>
    <row r="110" customFormat="false" ht="15" hidden="false" customHeight="false" outlineLevel="0" collapsed="false">
      <c r="A110" s="6"/>
      <c r="B110" s="15"/>
      <c r="C110" s="6"/>
      <c r="D110" s="6"/>
      <c r="E110" s="6"/>
      <c r="F110" s="6"/>
      <c r="G110" s="6"/>
      <c r="H110" s="16"/>
      <c r="I110" s="16"/>
      <c r="J110" s="16"/>
      <c r="K110" s="16"/>
      <c r="L110" s="17" t="str">
        <f aca="false">IF(H110="","",H110+I110-J110-K110)</f>
        <v/>
      </c>
      <c r="M110" s="16"/>
      <c r="N110" s="16"/>
      <c r="O110" s="17" t="str">
        <f aca="false">IF(L110="","",L110-M110-N110)</f>
        <v/>
      </c>
      <c r="P110" s="18" t="str">
        <f aca="false">IF(OR(L110="",L110=0),"",O110/L110)</f>
        <v/>
      </c>
    </row>
    <row r="111" customFormat="false" ht="15" hidden="false" customHeight="false" outlineLevel="0" collapsed="false">
      <c r="A111" s="6"/>
      <c r="B111" s="15"/>
      <c r="C111" s="6"/>
      <c r="D111" s="6"/>
      <c r="E111" s="6"/>
      <c r="F111" s="6"/>
      <c r="G111" s="6"/>
      <c r="H111" s="16"/>
      <c r="I111" s="16"/>
      <c r="J111" s="16"/>
      <c r="K111" s="16"/>
      <c r="L111" s="17" t="str">
        <f aca="false">IF(H111="","",H111+I111-J111-K111)</f>
        <v/>
      </c>
      <c r="M111" s="16"/>
      <c r="N111" s="16"/>
      <c r="O111" s="17" t="str">
        <f aca="false">IF(L111="","",L111-M111-N111)</f>
        <v/>
      </c>
      <c r="P111" s="18" t="str">
        <f aca="false">IF(OR(L111="",L111=0),"",O111/L111)</f>
        <v/>
      </c>
    </row>
    <row r="112" customFormat="false" ht="15" hidden="false" customHeight="false" outlineLevel="0" collapsed="false">
      <c r="A112" s="6"/>
      <c r="B112" s="15"/>
      <c r="C112" s="6"/>
      <c r="D112" s="6"/>
      <c r="E112" s="6"/>
      <c r="F112" s="6"/>
      <c r="G112" s="6"/>
      <c r="H112" s="16"/>
      <c r="I112" s="16"/>
      <c r="J112" s="16"/>
      <c r="K112" s="16"/>
      <c r="L112" s="17" t="str">
        <f aca="false">IF(H112="","",H112+I112-J112-K112)</f>
        <v/>
      </c>
      <c r="M112" s="16"/>
      <c r="N112" s="16"/>
      <c r="O112" s="17" t="str">
        <f aca="false">IF(L112="","",L112-M112-N112)</f>
        <v/>
      </c>
      <c r="P112" s="18" t="str">
        <f aca="false">IF(OR(L112="",L112=0),"",O112/L112)</f>
        <v/>
      </c>
    </row>
    <row r="113" customFormat="false" ht="15" hidden="false" customHeight="false" outlineLevel="0" collapsed="false">
      <c r="A113" s="6"/>
      <c r="B113" s="15"/>
      <c r="C113" s="6"/>
      <c r="D113" s="6"/>
      <c r="E113" s="6"/>
      <c r="F113" s="6"/>
      <c r="G113" s="6"/>
      <c r="H113" s="16"/>
      <c r="I113" s="16"/>
      <c r="J113" s="16"/>
      <c r="K113" s="16"/>
      <c r="L113" s="17" t="str">
        <f aca="false">IF(H113="","",H113+I113-J113-K113)</f>
        <v/>
      </c>
      <c r="M113" s="16"/>
      <c r="N113" s="16"/>
      <c r="O113" s="17" t="str">
        <f aca="false">IF(L113="","",L113-M113-N113)</f>
        <v/>
      </c>
      <c r="P113" s="18" t="str">
        <f aca="false">IF(OR(L113="",L113=0),"",O113/L113)</f>
        <v/>
      </c>
    </row>
    <row r="114" customFormat="false" ht="15" hidden="false" customHeight="false" outlineLevel="0" collapsed="false">
      <c r="A114" s="6"/>
      <c r="B114" s="15"/>
      <c r="C114" s="6"/>
      <c r="D114" s="6"/>
      <c r="E114" s="6"/>
      <c r="F114" s="6"/>
      <c r="G114" s="6"/>
      <c r="H114" s="16"/>
      <c r="I114" s="16"/>
      <c r="J114" s="16"/>
      <c r="K114" s="16"/>
      <c r="L114" s="17" t="str">
        <f aca="false">IF(H114="","",H114+I114-J114-K114)</f>
        <v/>
      </c>
      <c r="M114" s="16"/>
      <c r="N114" s="16"/>
      <c r="O114" s="17" t="str">
        <f aca="false">IF(L114="","",L114-M114-N114)</f>
        <v/>
      </c>
      <c r="P114" s="18" t="str">
        <f aca="false">IF(OR(L114="",L114=0),"",O114/L114)</f>
        <v/>
      </c>
    </row>
    <row r="115" customFormat="false" ht="15" hidden="false" customHeight="false" outlineLevel="0" collapsed="false">
      <c r="A115" s="6"/>
      <c r="B115" s="15"/>
      <c r="C115" s="6"/>
      <c r="D115" s="6"/>
      <c r="E115" s="6"/>
      <c r="F115" s="6"/>
      <c r="G115" s="6"/>
      <c r="H115" s="16"/>
      <c r="I115" s="16"/>
      <c r="J115" s="16"/>
      <c r="K115" s="16"/>
      <c r="L115" s="17" t="str">
        <f aca="false">IF(H115="","",H115+I115-J115-K115)</f>
        <v/>
      </c>
      <c r="M115" s="16"/>
      <c r="N115" s="16"/>
      <c r="O115" s="17" t="str">
        <f aca="false">IF(L115="","",L115-M115-N115)</f>
        <v/>
      </c>
      <c r="P115" s="18" t="str">
        <f aca="false">IF(OR(L115="",L115=0),"",O115/L115)</f>
        <v/>
      </c>
    </row>
    <row r="116" customFormat="false" ht="15" hidden="false" customHeight="false" outlineLevel="0" collapsed="false">
      <c r="A116" s="6"/>
      <c r="B116" s="15"/>
      <c r="C116" s="6"/>
      <c r="D116" s="6"/>
      <c r="E116" s="6"/>
      <c r="F116" s="6"/>
      <c r="G116" s="6"/>
      <c r="H116" s="16"/>
      <c r="I116" s="16"/>
      <c r="J116" s="16"/>
      <c r="K116" s="16"/>
      <c r="L116" s="17" t="str">
        <f aca="false">IF(H116="","",H116+I116-J116-K116)</f>
        <v/>
      </c>
      <c r="M116" s="16"/>
      <c r="N116" s="16"/>
      <c r="O116" s="17" t="str">
        <f aca="false">IF(L116="","",L116-M116-N116)</f>
        <v/>
      </c>
      <c r="P116" s="18" t="str">
        <f aca="false">IF(OR(L116="",L116=0),"",O116/L116)</f>
        <v/>
      </c>
    </row>
    <row r="117" customFormat="false" ht="15" hidden="false" customHeight="false" outlineLevel="0" collapsed="false">
      <c r="A117" s="6"/>
      <c r="B117" s="15"/>
      <c r="C117" s="6"/>
      <c r="D117" s="6"/>
      <c r="E117" s="6"/>
      <c r="F117" s="6"/>
      <c r="G117" s="6"/>
      <c r="H117" s="16"/>
      <c r="I117" s="16"/>
      <c r="J117" s="16"/>
      <c r="K117" s="16"/>
      <c r="L117" s="17" t="str">
        <f aca="false">IF(H117="","",H117+I117-J117-K117)</f>
        <v/>
      </c>
      <c r="M117" s="16"/>
      <c r="N117" s="16"/>
      <c r="O117" s="17" t="str">
        <f aca="false">IF(L117="","",L117-M117-N117)</f>
        <v/>
      </c>
      <c r="P117" s="18" t="str">
        <f aca="false">IF(OR(L117="",L117=0),"",O117/L117)</f>
        <v/>
      </c>
    </row>
    <row r="118" customFormat="false" ht="15" hidden="false" customHeight="false" outlineLevel="0" collapsed="false">
      <c r="A118" s="6"/>
      <c r="B118" s="15"/>
      <c r="C118" s="6"/>
      <c r="D118" s="6"/>
      <c r="E118" s="6"/>
      <c r="F118" s="6"/>
      <c r="G118" s="6"/>
      <c r="H118" s="16"/>
      <c r="I118" s="16"/>
      <c r="J118" s="16"/>
      <c r="K118" s="16"/>
      <c r="L118" s="17" t="str">
        <f aca="false">IF(H118="","",H118+I118-J118-K118)</f>
        <v/>
      </c>
      <c r="M118" s="16"/>
      <c r="N118" s="16"/>
      <c r="O118" s="17" t="str">
        <f aca="false">IF(L118="","",L118-M118-N118)</f>
        <v/>
      </c>
      <c r="P118" s="18" t="str">
        <f aca="false">IF(OR(L118="",L118=0),"",O118/L118)</f>
        <v/>
      </c>
    </row>
    <row r="119" customFormat="false" ht="15" hidden="false" customHeight="false" outlineLevel="0" collapsed="false">
      <c r="A119" s="6"/>
      <c r="B119" s="15"/>
      <c r="C119" s="6"/>
      <c r="D119" s="6"/>
      <c r="E119" s="6"/>
      <c r="F119" s="6"/>
      <c r="G119" s="6"/>
      <c r="H119" s="16"/>
      <c r="I119" s="16"/>
      <c r="J119" s="16"/>
      <c r="K119" s="16"/>
      <c r="L119" s="17" t="str">
        <f aca="false">IF(H119="","",H119+I119-J119-K119)</f>
        <v/>
      </c>
      <c r="M119" s="16"/>
      <c r="N119" s="16"/>
      <c r="O119" s="17" t="str">
        <f aca="false">IF(L119="","",L119-M119-N119)</f>
        <v/>
      </c>
      <c r="P119" s="18" t="str">
        <f aca="false">IF(OR(L119="",L119=0),"",O119/L119)</f>
        <v/>
      </c>
    </row>
    <row r="120" customFormat="false" ht="15" hidden="false" customHeight="false" outlineLevel="0" collapsed="false">
      <c r="A120" s="6"/>
      <c r="B120" s="15"/>
      <c r="C120" s="6"/>
      <c r="D120" s="6"/>
      <c r="E120" s="6"/>
      <c r="F120" s="6"/>
      <c r="G120" s="6"/>
      <c r="H120" s="16"/>
      <c r="I120" s="16"/>
      <c r="J120" s="16"/>
      <c r="K120" s="16"/>
      <c r="L120" s="17" t="str">
        <f aca="false">IF(H120="","",H120+I120-J120-K120)</f>
        <v/>
      </c>
      <c r="M120" s="16"/>
      <c r="N120" s="16"/>
      <c r="O120" s="17" t="str">
        <f aca="false">IF(L120="","",L120-M120-N120)</f>
        <v/>
      </c>
      <c r="P120" s="18" t="str">
        <f aca="false">IF(OR(L120="",L120=0),"",O120/L120)</f>
        <v/>
      </c>
    </row>
    <row r="121" customFormat="false" ht="15" hidden="false" customHeight="false" outlineLevel="0" collapsed="false">
      <c r="A121" s="6"/>
      <c r="B121" s="15"/>
      <c r="C121" s="6"/>
      <c r="D121" s="6"/>
      <c r="E121" s="6"/>
      <c r="F121" s="6"/>
      <c r="G121" s="6"/>
      <c r="H121" s="16"/>
      <c r="I121" s="16"/>
      <c r="J121" s="16"/>
      <c r="K121" s="16"/>
      <c r="L121" s="17" t="str">
        <f aca="false">IF(H121="","",H121+I121-J121-K121)</f>
        <v/>
      </c>
      <c r="M121" s="16"/>
      <c r="N121" s="16"/>
      <c r="O121" s="17" t="str">
        <f aca="false">IF(L121="","",L121-M121-N121)</f>
        <v/>
      </c>
      <c r="P121" s="18" t="str">
        <f aca="false">IF(OR(L121="",L121=0),"",O121/L121)</f>
        <v/>
      </c>
    </row>
    <row r="122" customFormat="false" ht="15" hidden="false" customHeight="false" outlineLevel="0" collapsed="false">
      <c r="A122" s="6"/>
      <c r="B122" s="15"/>
      <c r="C122" s="6"/>
      <c r="D122" s="6"/>
      <c r="E122" s="6"/>
      <c r="F122" s="6"/>
      <c r="G122" s="6"/>
      <c r="H122" s="16"/>
      <c r="I122" s="16"/>
      <c r="J122" s="16"/>
      <c r="K122" s="16"/>
      <c r="L122" s="17" t="str">
        <f aca="false">IF(H122="","",H122+I122-J122-K122)</f>
        <v/>
      </c>
      <c r="M122" s="16"/>
      <c r="N122" s="16"/>
      <c r="O122" s="17" t="str">
        <f aca="false">IF(L122="","",L122-M122-N122)</f>
        <v/>
      </c>
      <c r="P122" s="18" t="str">
        <f aca="false">IF(OR(L122="",L122=0),"",O122/L122)</f>
        <v/>
      </c>
    </row>
    <row r="123" customFormat="false" ht="15" hidden="false" customHeight="false" outlineLevel="0" collapsed="false">
      <c r="A123" s="6"/>
      <c r="B123" s="15"/>
      <c r="C123" s="6"/>
      <c r="D123" s="6"/>
      <c r="E123" s="6"/>
      <c r="F123" s="6"/>
      <c r="G123" s="6"/>
      <c r="H123" s="16"/>
      <c r="I123" s="16"/>
      <c r="J123" s="16"/>
      <c r="K123" s="16"/>
      <c r="L123" s="17" t="str">
        <f aca="false">IF(H123="","",H123+I123-J123-K123)</f>
        <v/>
      </c>
      <c r="M123" s="16"/>
      <c r="N123" s="16"/>
      <c r="O123" s="17" t="str">
        <f aca="false">IF(L123="","",L123-M123-N123)</f>
        <v/>
      </c>
      <c r="P123" s="18" t="str">
        <f aca="false">IF(OR(L123="",L123=0),"",O123/L123)</f>
        <v/>
      </c>
    </row>
    <row r="124" customFormat="false" ht="15" hidden="false" customHeight="false" outlineLevel="0" collapsed="false">
      <c r="A124" s="6"/>
      <c r="B124" s="15"/>
      <c r="C124" s="6"/>
      <c r="D124" s="6"/>
      <c r="E124" s="6"/>
      <c r="F124" s="6"/>
      <c r="G124" s="6"/>
      <c r="H124" s="16"/>
      <c r="I124" s="16"/>
      <c r="J124" s="16"/>
      <c r="K124" s="16"/>
      <c r="L124" s="17" t="str">
        <f aca="false">IF(H124="","",H124+I124-J124-K124)</f>
        <v/>
      </c>
      <c r="M124" s="16"/>
      <c r="N124" s="16"/>
      <c r="O124" s="17" t="str">
        <f aca="false">IF(L124="","",L124-M124-N124)</f>
        <v/>
      </c>
      <c r="P124" s="18" t="str">
        <f aca="false">IF(OR(L124="",L124=0),"",O124/L124)</f>
        <v/>
      </c>
    </row>
    <row r="125" customFormat="false" ht="15" hidden="false" customHeight="false" outlineLevel="0" collapsed="false">
      <c r="A125" s="6"/>
      <c r="B125" s="15"/>
      <c r="C125" s="6"/>
      <c r="D125" s="6"/>
      <c r="E125" s="6"/>
      <c r="F125" s="6"/>
      <c r="G125" s="6"/>
      <c r="H125" s="16"/>
      <c r="I125" s="16"/>
      <c r="J125" s="16"/>
      <c r="K125" s="16"/>
      <c r="L125" s="17" t="str">
        <f aca="false">IF(H125="","",H125+I125-J125-K125)</f>
        <v/>
      </c>
      <c r="M125" s="16"/>
      <c r="N125" s="16"/>
      <c r="O125" s="17" t="str">
        <f aca="false">IF(L125="","",L125-M125-N125)</f>
        <v/>
      </c>
      <c r="P125" s="18" t="str">
        <f aca="false">IF(OR(L125="",L125=0),"",O125/L125)</f>
        <v/>
      </c>
    </row>
    <row r="126" customFormat="false" ht="15" hidden="false" customHeight="false" outlineLevel="0" collapsed="false">
      <c r="A126" s="6"/>
      <c r="B126" s="15"/>
      <c r="C126" s="6"/>
      <c r="D126" s="6"/>
      <c r="E126" s="6"/>
      <c r="F126" s="6"/>
      <c r="G126" s="6"/>
      <c r="H126" s="16"/>
      <c r="I126" s="16"/>
      <c r="J126" s="16"/>
      <c r="K126" s="16"/>
      <c r="L126" s="17" t="str">
        <f aca="false">IF(H126="","",H126+I126-J126-K126)</f>
        <v/>
      </c>
      <c r="M126" s="16"/>
      <c r="N126" s="16"/>
      <c r="O126" s="17" t="str">
        <f aca="false">IF(L126="","",L126-M126-N126)</f>
        <v/>
      </c>
      <c r="P126" s="18" t="str">
        <f aca="false">IF(OR(L126="",L126=0),"",O126/L126)</f>
        <v/>
      </c>
    </row>
    <row r="127" customFormat="false" ht="15" hidden="false" customHeight="false" outlineLevel="0" collapsed="false">
      <c r="A127" s="6"/>
      <c r="B127" s="15"/>
      <c r="C127" s="6"/>
      <c r="D127" s="6"/>
      <c r="E127" s="6"/>
      <c r="F127" s="6"/>
      <c r="G127" s="6"/>
      <c r="H127" s="16"/>
      <c r="I127" s="16"/>
      <c r="J127" s="16"/>
      <c r="K127" s="16"/>
      <c r="L127" s="17" t="str">
        <f aca="false">IF(H127="","",H127+I127-J127-K127)</f>
        <v/>
      </c>
      <c r="M127" s="16"/>
      <c r="N127" s="16"/>
      <c r="O127" s="17" t="str">
        <f aca="false">IF(L127="","",L127-M127-N127)</f>
        <v/>
      </c>
      <c r="P127" s="18" t="str">
        <f aca="false">IF(OR(L127="",L127=0),"",O127/L127)</f>
        <v/>
      </c>
    </row>
    <row r="128" customFormat="false" ht="15" hidden="false" customHeight="false" outlineLevel="0" collapsed="false">
      <c r="A128" s="6"/>
      <c r="B128" s="15"/>
      <c r="C128" s="6"/>
      <c r="D128" s="6"/>
      <c r="E128" s="6"/>
      <c r="F128" s="6"/>
      <c r="G128" s="6"/>
      <c r="H128" s="16"/>
      <c r="I128" s="16"/>
      <c r="J128" s="16"/>
      <c r="K128" s="16"/>
      <c r="L128" s="17" t="str">
        <f aca="false">IF(H128="","",H128+I128-J128-K128)</f>
        <v/>
      </c>
      <c r="M128" s="16"/>
      <c r="N128" s="16"/>
      <c r="O128" s="17" t="str">
        <f aca="false">IF(L128="","",L128-M128-N128)</f>
        <v/>
      </c>
      <c r="P128" s="18" t="str">
        <f aca="false">IF(OR(L128="",L128=0),"",O128/L128)</f>
        <v/>
      </c>
    </row>
    <row r="129" customFormat="false" ht="15" hidden="false" customHeight="false" outlineLevel="0" collapsed="false">
      <c r="A129" s="6"/>
      <c r="B129" s="15"/>
      <c r="C129" s="6"/>
      <c r="D129" s="6"/>
      <c r="E129" s="6"/>
      <c r="F129" s="6"/>
      <c r="G129" s="6"/>
      <c r="H129" s="16"/>
      <c r="I129" s="16"/>
      <c r="J129" s="16"/>
      <c r="K129" s="16"/>
      <c r="L129" s="17" t="str">
        <f aca="false">IF(H129="","",H129+I129-J129-K129)</f>
        <v/>
      </c>
      <c r="M129" s="16"/>
      <c r="N129" s="16"/>
      <c r="O129" s="17" t="str">
        <f aca="false">IF(L129="","",L129-M129-N129)</f>
        <v/>
      </c>
      <c r="P129" s="18" t="str">
        <f aca="false">IF(OR(L129="",L129=0),"",O129/L129)</f>
        <v/>
      </c>
    </row>
    <row r="130" customFormat="false" ht="15" hidden="false" customHeight="false" outlineLevel="0" collapsed="false">
      <c r="A130" s="6"/>
      <c r="B130" s="15"/>
      <c r="C130" s="6"/>
      <c r="D130" s="6"/>
      <c r="E130" s="6"/>
      <c r="F130" s="6"/>
      <c r="G130" s="6"/>
      <c r="H130" s="16"/>
      <c r="I130" s="16"/>
      <c r="J130" s="16"/>
      <c r="K130" s="16"/>
      <c r="L130" s="17" t="str">
        <f aca="false">IF(H130="","",H130+I130-J130-K130)</f>
        <v/>
      </c>
      <c r="M130" s="16"/>
      <c r="N130" s="16"/>
      <c r="O130" s="17" t="str">
        <f aca="false">IF(L130="","",L130-M130-N130)</f>
        <v/>
      </c>
      <c r="P130" s="18" t="str">
        <f aca="false">IF(OR(L130="",L130=0),"",O130/L130)</f>
        <v/>
      </c>
    </row>
    <row r="131" customFormat="false" ht="15" hidden="false" customHeight="false" outlineLevel="0" collapsed="false">
      <c r="A131" s="6"/>
      <c r="B131" s="15"/>
      <c r="C131" s="6"/>
      <c r="D131" s="6"/>
      <c r="E131" s="6"/>
      <c r="F131" s="6"/>
      <c r="G131" s="6"/>
      <c r="H131" s="16"/>
      <c r="I131" s="16"/>
      <c r="J131" s="16"/>
      <c r="K131" s="16"/>
      <c r="L131" s="17" t="str">
        <f aca="false">IF(H131="","",H131+I131-J131-K131)</f>
        <v/>
      </c>
      <c r="M131" s="16"/>
      <c r="N131" s="16"/>
      <c r="O131" s="17" t="str">
        <f aca="false">IF(L131="","",L131-M131-N131)</f>
        <v/>
      </c>
      <c r="P131" s="18" t="str">
        <f aca="false">IF(OR(L131="",L131=0),"",O131/L131)</f>
        <v/>
      </c>
    </row>
    <row r="132" customFormat="false" ht="15" hidden="false" customHeight="false" outlineLevel="0" collapsed="false">
      <c r="A132" s="6"/>
      <c r="B132" s="15"/>
      <c r="C132" s="6"/>
      <c r="D132" s="6"/>
      <c r="E132" s="6"/>
      <c r="F132" s="6"/>
      <c r="G132" s="6"/>
      <c r="H132" s="16"/>
      <c r="I132" s="16"/>
      <c r="J132" s="16"/>
      <c r="K132" s="16"/>
      <c r="L132" s="17" t="str">
        <f aca="false">IF(H132="","",H132+I132-J132-K132)</f>
        <v/>
      </c>
      <c r="M132" s="16"/>
      <c r="N132" s="16"/>
      <c r="O132" s="17" t="str">
        <f aca="false">IF(L132="","",L132-M132-N132)</f>
        <v/>
      </c>
      <c r="P132" s="18" t="str">
        <f aca="false">IF(OR(L132="",L132=0),"",O132/L132)</f>
        <v/>
      </c>
    </row>
    <row r="133" customFormat="false" ht="15" hidden="false" customHeight="false" outlineLevel="0" collapsed="false">
      <c r="A133" s="6"/>
      <c r="B133" s="15"/>
      <c r="C133" s="6"/>
      <c r="D133" s="6"/>
      <c r="E133" s="6"/>
      <c r="F133" s="6"/>
      <c r="G133" s="6"/>
      <c r="H133" s="16"/>
      <c r="I133" s="16"/>
      <c r="J133" s="16"/>
      <c r="K133" s="16"/>
      <c r="L133" s="17" t="str">
        <f aca="false">IF(H133="","",H133+I133-J133-K133)</f>
        <v/>
      </c>
      <c r="M133" s="16"/>
      <c r="N133" s="16"/>
      <c r="O133" s="17" t="str">
        <f aca="false">IF(L133="","",L133-M133-N133)</f>
        <v/>
      </c>
      <c r="P133" s="18" t="str">
        <f aca="false">IF(OR(L133="",L133=0),"",O133/L133)</f>
        <v/>
      </c>
    </row>
    <row r="134" customFormat="false" ht="15" hidden="false" customHeight="false" outlineLevel="0" collapsed="false">
      <c r="A134" s="6"/>
      <c r="B134" s="15"/>
      <c r="C134" s="6"/>
      <c r="D134" s="6"/>
      <c r="E134" s="6"/>
      <c r="F134" s="6"/>
      <c r="G134" s="6"/>
      <c r="H134" s="16"/>
      <c r="I134" s="16"/>
      <c r="J134" s="16"/>
      <c r="K134" s="16"/>
      <c r="L134" s="17" t="str">
        <f aca="false">IF(H134="","",H134+I134-J134-K134)</f>
        <v/>
      </c>
      <c r="M134" s="16"/>
      <c r="N134" s="16"/>
      <c r="O134" s="17" t="str">
        <f aca="false">IF(L134="","",L134-M134-N134)</f>
        <v/>
      </c>
      <c r="P134" s="18" t="str">
        <f aca="false">IF(OR(L134="",L134=0),"",O134/L134)</f>
        <v/>
      </c>
    </row>
    <row r="135" customFormat="false" ht="15" hidden="false" customHeight="false" outlineLevel="0" collapsed="false">
      <c r="A135" s="6"/>
      <c r="B135" s="15"/>
      <c r="C135" s="6"/>
      <c r="D135" s="6"/>
      <c r="E135" s="6"/>
      <c r="F135" s="6"/>
      <c r="G135" s="6"/>
      <c r="H135" s="16"/>
      <c r="I135" s="16"/>
      <c r="J135" s="16"/>
      <c r="K135" s="16"/>
      <c r="L135" s="17" t="str">
        <f aca="false">IF(H135="","",H135+I135-J135-K135)</f>
        <v/>
      </c>
      <c r="M135" s="16"/>
      <c r="N135" s="16"/>
      <c r="O135" s="17" t="str">
        <f aca="false">IF(L135="","",L135-M135-N135)</f>
        <v/>
      </c>
      <c r="P135" s="18" t="str">
        <f aca="false">IF(OR(L135="",L135=0),"",O135/L135)</f>
        <v/>
      </c>
    </row>
    <row r="136" customFormat="false" ht="15" hidden="false" customHeight="false" outlineLevel="0" collapsed="false">
      <c r="A136" s="6"/>
      <c r="B136" s="15"/>
      <c r="C136" s="6"/>
      <c r="D136" s="6"/>
      <c r="E136" s="6"/>
      <c r="F136" s="6"/>
      <c r="G136" s="6"/>
      <c r="H136" s="16"/>
      <c r="I136" s="16"/>
      <c r="J136" s="16"/>
      <c r="K136" s="16"/>
      <c r="L136" s="17" t="str">
        <f aca="false">IF(H136="","",H136+I136-J136-K136)</f>
        <v/>
      </c>
      <c r="M136" s="16"/>
      <c r="N136" s="16"/>
      <c r="O136" s="17" t="str">
        <f aca="false">IF(L136="","",L136-M136-N136)</f>
        <v/>
      </c>
      <c r="P136" s="18" t="str">
        <f aca="false">IF(OR(L136="",L136=0),"",O136/L136)</f>
        <v/>
      </c>
    </row>
    <row r="137" customFormat="false" ht="15" hidden="false" customHeight="false" outlineLevel="0" collapsed="false">
      <c r="A137" s="6"/>
      <c r="B137" s="15"/>
      <c r="C137" s="6"/>
      <c r="D137" s="6"/>
      <c r="E137" s="6"/>
      <c r="F137" s="6"/>
      <c r="G137" s="6"/>
      <c r="H137" s="16"/>
      <c r="I137" s="16"/>
      <c r="J137" s="16"/>
      <c r="K137" s="16"/>
      <c r="L137" s="17" t="str">
        <f aca="false">IF(H137="","",H137+I137-J137-K137)</f>
        <v/>
      </c>
      <c r="M137" s="16"/>
      <c r="N137" s="16"/>
      <c r="O137" s="17" t="str">
        <f aca="false">IF(L137="","",L137-M137-N137)</f>
        <v/>
      </c>
      <c r="P137" s="18" t="str">
        <f aca="false">IF(OR(L137="",L137=0),"",O137/L137)</f>
        <v/>
      </c>
    </row>
    <row r="138" customFormat="false" ht="15" hidden="false" customHeight="false" outlineLevel="0" collapsed="false">
      <c r="A138" s="6"/>
      <c r="B138" s="15"/>
      <c r="C138" s="6"/>
      <c r="D138" s="6"/>
      <c r="E138" s="6"/>
      <c r="F138" s="6"/>
      <c r="G138" s="6"/>
      <c r="H138" s="16"/>
      <c r="I138" s="16"/>
      <c r="J138" s="16"/>
      <c r="K138" s="16"/>
      <c r="L138" s="17" t="str">
        <f aca="false">IF(H138="","",H138+I138-J138-K138)</f>
        <v/>
      </c>
      <c r="M138" s="16"/>
      <c r="N138" s="16"/>
      <c r="O138" s="17" t="str">
        <f aca="false">IF(L138="","",L138-M138-N138)</f>
        <v/>
      </c>
      <c r="P138" s="18" t="str">
        <f aca="false">IF(OR(L138="",L138=0),"",O138/L138)</f>
        <v/>
      </c>
    </row>
    <row r="139" customFormat="false" ht="15" hidden="false" customHeight="false" outlineLevel="0" collapsed="false">
      <c r="A139" s="6"/>
      <c r="B139" s="15"/>
      <c r="C139" s="6"/>
      <c r="D139" s="6"/>
      <c r="E139" s="6"/>
      <c r="F139" s="6"/>
      <c r="G139" s="6"/>
      <c r="H139" s="16"/>
      <c r="I139" s="16"/>
      <c r="J139" s="16"/>
      <c r="K139" s="16"/>
      <c r="L139" s="17" t="str">
        <f aca="false">IF(H139="","",H139+I139-J139-K139)</f>
        <v/>
      </c>
      <c r="M139" s="16"/>
      <c r="N139" s="16"/>
      <c r="O139" s="17" t="str">
        <f aca="false">IF(L139="","",L139-M139-N139)</f>
        <v/>
      </c>
      <c r="P139" s="18" t="str">
        <f aca="false">IF(OR(L139="",L139=0),"",O139/L139)</f>
        <v/>
      </c>
    </row>
    <row r="140" customFormat="false" ht="15" hidden="false" customHeight="false" outlineLevel="0" collapsed="false">
      <c r="A140" s="6"/>
      <c r="B140" s="15"/>
      <c r="C140" s="6"/>
      <c r="D140" s="6"/>
      <c r="E140" s="6"/>
      <c r="F140" s="6"/>
      <c r="G140" s="6"/>
      <c r="H140" s="16"/>
      <c r="I140" s="16"/>
      <c r="J140" s="16"/>
      <c r="K140" s="16"/>
      <c r="L140" s="17" t="str">
        <f aca="false">IF(H140="","",H140+I140-J140-K140)</f>
        <v/>
      </c>
      <c r="M140" s="16"/>
      <c r="N140" s="16"/>
      <c r="O140" s="17" t="str">
        <f aca="false">IF(L140="","",L140-M140-N140)</f>
        <v/>
      </c>
      <c r="P140" s="18" t="str">
        <f aca="false">IF(OR(L140="",L140=0),"",O140/L140)</f>
        <v/>
      </c>
    </row>
    <row r="141" customFormat="false" ht="15" hidden="false" customHeight="false" outlineLevel="0" collapsed="false">
      <c r="A141" s="6"/>
      <c r="B141" s="15"/>
      <c r="C141" s="6"/>
      <c r="D141" s="6"/>
      <c r="E141" s="6"/>
      <c r="F141" s="6"/>
      <c r="G141" s="6"/>
      <c r="H141" s="16"/>
      <c r="I141" s="16"/>
      <c r="J141" s="16"/>
      <c r="K141" s="16"/>
      <c r="L141" s="17" t="str">
        <f aca="false">IF(H141="","",H141+I141-J141-K141)</f>
        <v/>
      </c>
      <c r="M141" s="16"/>
      <c r="N141" s="16"/>
      <c r="O141" s="17" t="str">
        <f aca="false">IF(L141="","",L141-M141-N141)</f>
        <v/>
      </c>
      <c r="P141" s="18" t="str">
        <f aca="false">IF(OR(L141="",L141=0),"",O141/L141)</f>
        <v/>
      </c>
    </row>
    <row r="142" customFormat="false" ht="15" hidden="false" customHeight="false" outlineLevel="0" collapsed="false">
      <c r="A142" s="6"/>
      <c r="B142" s="15"/>
      <c r="C142" s="6"/>
      <c r="D142" s="6"/>
      <c r="E142" s="6"/>
      <c r="F142" s="6"/>
      <c r="G142" s="6"/>
      <c r="H142" s="16"/>
      <c r="I142" s="16"/>
      <c r="J142" s="16"/>
      <c r="K142" s="16"/>
      <c r="L142" s="17" t="str">
        <f aca="false">IF(H142="","",H142+I142-J142-K142)</f>
        <v/>
      </c>
      <c r="M142" s="16"/>
      <c r="N142" s="16"/>
      <c r="O142" s="17" t="str">
        <f aca="false">IF(L142="","",L142-M142-N142)</f>
        <v/>
      </c>
      <c r="P142" s="18" t="str">
        <f aca="false">IF(OR(L142="",L142=0),"",O142/L142)</f>
        <v/>
      </c>
    </row>
    <row r="143" customFormat="false" ht="15" hidden="false" customHeight="false" outlineLevel="0" collapsed="false">
      <c r="A143" s="6"/>
      <c r="B143" s="15"/>
      <c r="C143" s="6"/>
      <c r="D143" s="6"/>
      <c r="E143" s="6"/>
      <c r="F143" s="6"/>
      <c r="G143" s="6"/>
      <c r="H143" s="16"/>
      <c r="I143" s="16"/>
      <c r="J143" s="16"/>
      <c r="K143" s="16"/>
      <c r="L143" s="17" t="str">
        <f aca="false">IF(H143="","",H143+I143-J143-K143)</f>
        <v/>
      </c>
      <c r="M143" s="16"/>
      <c r="N143" s="16"/>
      <c r="O143" s="17" t="str">
        <f aca="false">IF(L143="","",L143-M143-N143)</f>
        <v/>
      </c>
      <c r="P143" s="18" t="str">
        <f aca="false">IF(OR(L143="",L143=0),"",O143/L143)</f>
        <v/>
      </c>
    </row>
    <row r="144" customFormat="false" ht="15" hidden="false" customHeight="false" outlineLevel="0" collapsed="false">
      <c r="A144" s="6"/>
      <c r="B144" s="15"/>
      <c r="C144" s="6"/>
      <c r="D144" s="6"/>
      <c r="E144" s="6"/>
      <c r="F144" s="6"/>
      <c r="G144" s="6"/>
      <c r="H144" s="16"/>
      <c r="I144" s="16"/>
      <c r="J144" s="16"/>
      <c r="K144" s="16"/>
      <c r="L144" s="17" t="str">
        <f aca="false">IF(H144="","",H144+I144-J144-K144)</f>
        <v/>
      </c>
      <c r="M144" s="16"/>
      <c r="N144" s="16"/>
      <c r="O144" s="17" t="str">
        <f aca="false">IF(L144="","",L144-M144-N144)</f>
        <v/>
      </c>
      <c r="P144" s="18" t="str">
        <f aca="false">IF(OR(L144="",L144=0),"",O144/L144)</f>
        <v/>
      </c>
    </row>
    <row r="145" customFormat="false" ht="15" hidden="false" customHeight="false" outlineLevel="0" collapsed="false">
      <c r="A145" s="6"/>
      <c r="B145" s="15"/>
      <c r="C145" s="6"/>
      <c r="D145" s="6"/>
      <c r="E145" s="6"/>
      <c r="F145" s="6"/>
      <c r="G145" s="6"/>
      <c r="H145" s="16"/>
      <c r="I145" s="16"/>
      <c r="J145" s="16"/>
      <c r="K145" s="16"/>
      <c r="L145" s="17" t="str">
        <f aca="false">IF(H145="","",H145+I145-J145-K145)</f>
        <v/>
      </c>
      <c r="M145" s="16"/>
      <c r="N145" s="16"/>
      <c r="O145" s="17" t="str">
        <f aca="false">IF(L145="","",L145-M145-N145)</f>
        <v/>
      </c>
      <c r="P145" s="18" t="str">
        <f aca="false">IF(OR(L145="",L145=0),"",O145/L145)</f>
        <v/>
      </c>
    </row>
    <row r="146" customFormat="false" ht="15" hidden="false" customHeight="false" outlineLevel="0" collapsed="false">
      <c r="A146" s="6"/>
      <c r="B146" s="15"/>
      <c r="C146" s="6"/>
      <c r="D146" s="6"/>
      <c r="E146" s="6"/>
      <c r="F146" s="6"/>
      <c r="G146" s="6"/>
      <c r="H146" s="16"/>
      <c r="I146" s="16"/>
      <c r="J146" s="16"/>
      <c r="K146" s="16"/>
      <c r="L146" s="17" t="str">
        <f aca="false">IF(H146="","",H146+I146-J146-K146)</f>
        <v/>
      </c>
      <c r="M146" s="16"/>
      <c r="N146" s="16"/>
      <c r="O146" s="17" t="str">
        <f aca="false">IF(L146="","",L146-M146-N146)</f>
        <v/>
      </c>
      <c r="P146" s="18" t="str">
        <f aca="false">IF(OR(L146="",L146=0),"",O146/L146)</f>
        <v/>
      </c>
    </row>
    <row r="147" customFormat="false" ht="15" hidden="false" customHeight="false" outlineLevel="0" collapsed="false">
      <c r="A147" s="6"/>
      <c r="B147" s="15"/>
      <c r="C147" s="6"/>
      <c r="D147" s="6"/>
      <c r="E147" s="6"/>
      <c r="F147" s="6"/>
      <c r="G147" s="6"/>
      <c r="H147" s="16"/>
      <c r="I147" s="16"/>
      <c r="J147" s="16"/>
      <c r="K147" s="16"/>
      <c r="L147" s="17" t="str">
        <f aca="false">IF(H147="","",H147+I147-J147-K147)</f>
        <v/>
      </c>
      <c r="M147" s="16"/>
      <c r="N147" s="16"/>
      <c r="O147" s="17" t="str">
        <f aca="false">IF(L147="","",L147-M147-N147)</f>
        <v/>
      </c>
      <c r="P147" s="18" t="str">
        <f aca="false">IF(OR(L147="",L147=0),"",O147/L147)</f>
        <v/>
      </c>
    </row>
    <row r="148" customFormat="false" ht="15" hidden="false" customHeight="false" outlineLevel="0" collapsed="false">
      <c r="A148" s="6"/>
      <c r="B148" s="15"/>
      <c r="C148" s="6"/>
      <c r="D148" s="6"/>
      <c r="E148" s="6"/>
      <c r="F148" s="6"/>
      <c r="G148" s="6"/>
      <c r="H148" s="16"/>
      <c r="I148" s="16"/>
      <c r="J148" s="16"/>
      <c r="K148" s="16"/>
      <c r="L148" s="17" t="str">
        <f aca="false">IF(H148="","",H148+I148-J148-K148)</f>
        <v/>
      </c>
      <c r="M148" s="16"/>
      <c r="N148" s="16"/>
      <c r="O148" s="17" t="str">
        <f aca="false">IF(L148="","",L148-M148-N148)</f>
        <v/>
      </c>
      <c r="P148" s="18" t="str">
        <f aca="false">IF(OR(L148="",L148=0),"",O148/L148)</f>
        <v/>
      </c>
    </row>
    <row r="149" customFormat="false" ht="15" hidden="false" customHeight="false" outlineLevel="0" collapsed="false">
      <c r="A149" s="6"/>
      <c r="B149" s="15"/>
      <c r="C149" s="6"/>
      <c r="D149" s="6"/>
      <c r="E149" s="6"/>
      <c r="F149" s="6"/>
      <c r="G149" s="6"/>
      <c r="H149" s="16"/>
      <c r="I149" s="16"/>
      <c r="J149" s="16"/>
      <c r="K149" s="16"/>
      <c r="L149" s="17" t="str">
        <f aca="false">IF(H149="","",H149+I149-J149-K149)</f>
        <v/>
      </c>
      <c r="M149" s="16"/>
      <c r="N149" s="16"/>
      <c r="O149" s="17" t="str">
        <f aca="false">IF(L149="","",L149-M149-N149)</f>
        <v/>
      </c>
      <c r="P149" s="18" t="str">
        <f aca="false">IF(OR(L149="",L149=0),"",O149/L149)</f>
        <v/>
      </c>
    </row>
    <row r="150" customFormat="false" ht="15" hidden="false" customHeight="false" outlineLevel="0" collapsed="false">
      <c r="A150" s="6"/>
      <c r="B150" s="15"/>
      <c r="C150" s="6"/>
      <c r="D150" s="6"/>
      <c r="E150" s="6"/>
      <c r="F150" s="6"/>
      <c r="G150" s="6"/>
      <c r="H150" s="16"/>
      <c r="I150" s="16"/>
      <c r="J150" s="16"/>
      <c r="K150" s="16"/>
      <c r="L150" s="17" t="str">
        <f aca="false">IF(H150="","",H150+I150-J150-K150)</f>
        <v/>
      </c>
      <c r="M150" s="16"/>
      <c r="N150" s="16"/>
      <c r="O150" s="17" t="str">
        <f aca="false">IF(L150="","",L150-M150-N150)</f>
        <v/>
      </c>
      <c r="P150" s="18" t="str">
        <f aca="false">IF(OR(L150="",L150=0),"",O150/L150)</f>
        <v/>
      </c>
    </row>
    <row r="151" customFormat="false" ht="15" hidden="false" customHeight="false" outlineLevel="0" collapsed="false">
      <c r="A151" s="6"/>
      <c r="B151" s="15"/>
      <c r="C151" s="6"/>
      <c r="D151" s="6"/>
      <c r="E151" s="6"/>
      <c r="F151" s="6"/>
      <c r="G151" s="6"/>
      <c r="H151" s="16"/>
      <c r="I151" s="16"/>
      <c r="J151" s="16"/>
      <c r="K151" s="16"/>
      <c r="L151" s="17" t="str">
        <f aca="false">IF(H151="","",H151+I151-J151-K151)</f>
        <v/>
      </c>
      <c r="M151" s="16"/>
      <c r="N151" s="16"/>
      <c r="O151" s="17" t="str">
        <f aca="false">IF(L151="","",L151-M151-N151)</f>
        <v/>
      </c>
      <c r="P151" s="18" t="str">
        <f aca="false">IF(OR(L151="",L151=0),"",O151/L151)</f>
        <v/>
      </c>
    </row>
    <row r="152" customFormat="false" ht="15" hidden="false" customHeight="false" outlineLevel="0" collapsed="false">
      <c r="A152" s="6"/>
      <c r="B152" s="15"/>
      <c r="C152" s="6"/>
      <c r="D152" s="6"/>
      <c r="E152" s="6"/>
      <c r="F152" s="6"/>
      <c r="G152" s="6"/>
      <c r="H152" s="16"/>
      <c r="I152" s="16"/>
      <c r="J152" s="16"/>
      <c r="K152" s="16"/>
      <c r="L152" s="17" t="str">
        <f aca="false">IF(H152="","",H152+I152-J152-K152)</f>
        <v/>
      </c>
      <c r="M152" s="16"/>
      <c r="N152" s="16"/>
      <c r="O152" s="17" t="str">
        <f aca="false">IF(L152="","",L152-M152-N152)</f>
        <v/>
      </c>
      <c r="P152" s="18" t="str">
        <f aca="false">IF(OR(L152="",L152=0),"",O152/L152)</f>
        <v/>
      </c>
    </row>
    <row r="153" customFormat="false" ht="15" hidden="false" customHeight="false" outlineLevel="0" collapsed="false">
      <c r="A153" s="6"/>
      <c r="B153" s="15"/>
      <c r="C153" s="6"/>
      <c r="D153" s="6"/>
      <c r="E153" s="6"/>
      <c r="F153" s="6"/>
      <c r="G153" s="6"/>
      <c r="H153" s="16"/>
      <c r="I153" s="16"/>
      <c r="J153" s="16"/>
      <c r="K153" s="16"/>
      <c r="L153" s="17" t="str">
        <f aca="false">IF(H153="","",H153+I153-J153-K153)</f>
        <v/>
      </c>
      <c r="M153" s="16"/>
      <c r="N153" s="16"/>
      <c r="O153" s="17" t="str">
        <f aca="false">IF(L153="","",L153-M153-N153)</f>
        <v/>
      </c>
      <c r="P153" s="18" t="str">
        <f aca="false">IF(OR(L153="",L153=0),"",O153/L153)</f>
        <v/>
      </c>
    </row>
    <row r="154" customFormat="false" ht="15" hidden="false" customHeight="false" outlineLevel="0" collapsed="false">
      <c r="A154" s="6"/>
      <c r="B154" s="15"/>
      <c r="C154" s="6"/>
      <c r="D154" s="6"/>
      <c r="E154" s="6"/>
      <c r="F154" s="6"/>
      <c r="G154" s="6"/>
      <c r="H154" s="16"/>
      <c r="I154" s="16"/>
      <c r="J154" s="16"/>
      <c r="K154" s="16"/>
      <c r="L154" s="17" t="str">
        <f aca="false">IF(H154="","",H154+I154-J154-K154)</f>
        <v/>
      </c>
      <c r="M154" s="16"/>
      <c r="N154" s="16"/>
      <c r="O154" s="17" t="str">
        <f aca="false">IF(L154="","",L154-M154-N154)</f>
        <v/>
      </c>
      <c r="P154" s="18" t="str">
        <f aca="false">IF(OR(L154="",L154=0),"",O154/L154)</f>
        <v/>
      </c>
    </row>
    <row r="155" customFormat="false" ht="15" hidden="false" customHeight="false" outlineLevel="0" collapsed="false">
      <c r="A155" s="6"/>
      <c r="B155" s="15"/>
      <c r="C155" s="6"/>
      <c r="D155" s="6"/>
      <c r="E155" s="6"/>
      <c r="F155" s="6"/>
      <c r="G155" s="6"/>
      <c r="H155" s="16"/>
      <c r="I155" s="16"/>
      <c r="J155" s="16"/>
      <c r="K155" s="16"/>
      <c r="L155" s="17" t="str">
        <f aca="false">IF(H155="","",H155+I155-J155-K155)</f>
        <v/>
      </c>
      <c r="M155" s="16"/>
      <c r="N155" s="16"/>
      <c r="O155" s="17" t="str">
        <f aca="false">IF(L155="","",L155-M155-N155)</f>
        <v/>
      </c>
      <c r="P155" s="18" t="str">
        <f aca="false">IF(OR(L155="",L155=0),"",O155/L155)</f>
        <v/>
      </c>
    </row>
    <row r="156" customFormat="false" ht="15" hidden="false" customHeight="false" outlineLevel="0" collapsed="false">
      <c r="A156" s="6"/>
      <c r="B156" s="15"/>
      <c r="C156" s="6"/>
      <c r="D156" s="6"/>
      <c r="E156" s="6"/>
      <c r="F156" s="6"/>
      <c r="G156" s="6"/>
      <c r="H156" s="16"/>
      <c r="I156" s="16"/>
      <c r="J156" s="16"/>
      <c r="K156" s="16"/>
      <c r="L156" s="17" t="str">
        <f aca="false">IF(H156="","",H156+I156-J156-K156)</f>
        <v/>
      </c>
      <c r="M156" s="16"/>
      <c r="N156" s="16"/>
      <c r="O156" s="17" t="str">
        <f aca="false">IF(L156="","",L156-M156-N156)</f>
        <v/>
      </c>
      <c r="P156" s="18" t="str">
        <f aca="false">IF(OR(L156="",L156=0),"",O156/L156)</f>
        <v/>
      </c>
    </row>
    <row r="157" customFormat="false" ht="15" hidden="false" customHeight="false" outlineLevel="0" collapsed="false">
      <c r="A157" s="6"/>
      <c r="B157" s="15"/>
      <c r="C157" s="6"/>
      <c r="D157" s="6"/>
      <c r="E157" s="6"/>
      <c r="F157" s="6"/>
      <c r="G157" s="6"/>
      <c r="H157" s="16"/>
      <c r="I157" s="16"/>
      <c r="J157" s="16"/>
      <c r="K157" s="16"/>
      <c r="L157" s="17" t="str">
        <f aca="false">IF(H157="","",H157+I157-J157-K157)</f>
        <v/>
      </c>
      <c r="M157" s="16"/>
      <c r="N157" s="16"/>
      <c r="O157" s="17" t="str">
        <f aca="false">IF(L157="","",L157-M157-N157)</f>
        <v/>
      </c>
      <c r="P157" s="18" t="str">
        <f aca="false">IF(OR(L157="",L157=0),"",O157/L157)</f>
        <v/>
      </c>
    </row>
    <row r="158" customFormat="false" ht="15" hidden="false" customHeight="false" outlineLevel="0" collapsed="false">
      <c r="A158" s="6"/>
      <c r="B158" s="15"/>
      <c r="C158" s="6"/>
      <c r="D158" s="6"/>
      <c r="E158" s="6"/>
      <c r="F158" s="6"/>
      <c r="G158" s="6"/>
      <c r="H158" s="16"/>
      <c r="I158" s="16"/>
      <c r="J158" s="16"/>
      <c r="K158" s="16"/>
      <c r="L158" s="17" t="str">
        <f aca="false">IF(H158="","",H158+I158-J158-K158)</f>
        <v/>
      </c>
      <c r="M158" s="16"/>
      <c r="N158" s="16"/>
      <c r="O158" s="17" t="str">
        <f aca="false">IF(L158="","",L158-M158-N158)</f>
        <v/>
      </c>
      <c r="P158" s="18" t="str">
        <f aca="false">IF(OR(L158="",L158=0),"",O158/L158)</f>
        <v/>
      </c>
    </row>
    <row r="159" customFormat="false" ht="15" hidden="false" customHeight="false" outlineLevel="0" collapsed="false">
      <c r="A159" s="6"/>
      <c r="B159" s="15"/>
      <c r="C159" s="6"/>
      <c r="D159" s="6"/>
      <c r="E159" s="6"/>
      <c r="F159" s="6"/>
      <c r="G159" s="6"/>
      <c r="H159" s="16"/>
      <c r="I159" s="16"/>
      <c r="J159" s="16"/>
      <c r="K159" s="16"/>
      <c r="L159" s="17" t="str">
        <f aca="false">IF(H159="","",H159+I159-J159-K159)</f>
        <v/>
      </c>
      <c r="M159" s="16"/>
      <c r="N159" s="16"/>
      <c r="O159" s="17" t="str">
        <f aca="false">IF(L159="","",L159-M159-N159)</f>
        <v/>
      </c>
      <c r="P159" s="18" t="str">
        <f aca="false">IF(OR(L159="",L159=0),"",O159/L159)</f>
        <v/>
      </c>
    </row>
    <row r="160" customFormat="false" ht="15" hidden="false" customHeight="false" outlineLevel="0" collapsed="false">
      <c r="A160" s="6"/>
      <c r="B160" s="15"/>
      <c r="C160" s="6"/>
      <c r="D160" s="6"/>
      <c r="E160" s="6"/>
      <c r="F160" s="6"/>
      <c r="G160" s="6"/>
      <c r="H160" s="16"/>
      <c r="I160" s="16"/>
      <c r="J160" s="16"/>
      <c r="K160" s="16"/>
      <c r="L160" s="17" t="str">
        <f aca="false">IF(H160="","",H160+I160-J160-K160)</f>
        <v/>
      </c>
      <c r="M160" s="16"/>
      <c r="N160" s="16"/>
      <c r="O160" s="17" t="str">
        <f aca="false">IF(L160="","",L160-M160-N160)</f>
        <v/>
      </c>
      <c r="P160" s="18" t="str">
        <f aca="false">IF(OR(L160="",L160=0),"",O160/L160)</f>
        <v/>
      </c>
    </row>
    <row r="161" customFormat="false" ht="15" hidden="false" customHeight="false" outlineLevel="0" collapsed="false">
      <c r="A161" s="6"/>
      <c r="B161" s="15"/>
      <c r="C161" s="6"/>
      <c r="D161" s="6"/>
      <c r="E161" s="6"/>
      <c r="F161" s="6"/>
      <c r="G161" s="6"/>
      <c r="H161" s="16"/>
      <c r="I161" s="16"/>
      <c r="J161" s="16"/>
      <c r="K161" s="16"/>
      <c r="L161" s="17" t="str">
        <f aca="false">IF(H161="","",H161+I161-J161-K161)</f>
        <v/>
      </c>
      <c r="M161" s="16"/>
      <c r="N161" s="16"/>
      <c r="O161" s="17" t="str">
        <f aca="false">IF(L161="","",L161-M161-N161)</f>
        <v/>
      </c>
      <c r="P161" s="18" t="str">
        <f aca="false">IF(OR(L161="",L161=0),"",O161/L161)</f>
        <v/>
      </c>
    </row>
    <row r="162" customFormat="false" ht="15" hidden="false" customHeight="false" outlineLevel="0" collapsed="false">
      <c r="A162" s="6"/>
      <c r="B162" s="15"/>
      <c r="C162" s="6"/>
      <c r="D162" s="6"/>
      <c r="E162" s="6"/>
      <c r="F162" s="6"/>
      <c r="G162" s="6"/>
      <c r="H162" s="16"/>
      <c r="I162" s="16"/>
      <c r="J162" s="16"/>
      <c r="K162" s="16"/>
      <c r="L162" s="17" t="str">
        <f aca="false">IF(H162="","",H162+I162-J162-K162)</f>
        <v/>
      </c>
      <c r="M162" s="16"/>
      <c r="N162" s="16"/>
      <c r="O162" s="17" t="str">
        <f aca="false">IF(L162="","",L162-M162-N162)</f>
        <v/>
      </c>
      <c r="P162" s="18" t="str">
        <f aca="false">IF(OR(L162="",L162=0),"",O162/L162)</f>
        <v/>
      </c>
    </row>
    <row r="163" customFormat="false" ht="15" hidden="false" customHeight="false" outlineLevel="0" collapsed="false">
      <c r="A163" s="6"/>
      <c r="B163" s="15"/>
      <c r="C163" s="6"/>
      <c r="D163" s="6"/>
      <c r="E163" s="6"/>
      <c r="F163" s="6"/>
      <c r="G163" s="6"/>
      <c r="H163" s="16"/>
      <c r="I163" s="16"/>
      <c r="J163" s="16"/>
      <c r="K163" s="16"/>
      <c r="L163" s="17" t="str">
        <f aca="false">IF(H163="","",H163+I163-J163-K163)</f>
        <v/>
      </c>
      <c r="M163" s="16"/>
      <c r="N163" s="16"/>
      <c r="O163" s="17" t="str">
        <f aca="false">IF(L163="","",L163-M163-N163)</f>
        <v/>
      </c>
      <c r="P163" s="18" t="str">
        <f aca="false">IF(OR(L163="",L163=0),"",O163/L163)</f>
        <v/>
      </c>
    </row>
    <row r="164" customFormat="false" ht="15" hidden="false" customHeight="false" outlineLevel="0" collapsed="false">
      <c r="A164" s="6"/>
      <c r="B164" s="15"/>
      <c r="C164" s="6"/>
      <c r="D164" s="6"/>
      <c r="E164" s="6"/>
      <c r="F164" s="6"/>
      <c r="G164" s="6"/>
      <c r="H164" s="16"/>
      <c r="I164" s="16"/>
      <c r="J164" s="16"/>
      <c r="K164" s="16"/>
      <c r="L164" s="17" t="str">
        <f aca="false">IF(H164="","",H164+I164-J164-K164)</f>
        <v/>
      </c>
      <c r="M164" s="16"/>
      <c r="N164" s="16"/>
      <c r="O164" s="17" t="str">
        <f aca="false">IF(L164="","",L164-M164-N164)</f>
        <v/>
      </c>
      <c r="P164" s="18" t="str">
        <f aca="false">IF(OR(L164="",L164=0),"",O164/L164)</f>
        <v/>
      </c>
    </row>
    <row r="165" customFormat="false" ht="15" hidden="false" customHeight="false" outlineLevel="0" collapsed="false">
      <c r="A165" s="6"/>
      <c r="B165" s="15"/>
      <c r="C165" s="6"/>
      <c r="D165" s="6"/>
      <c r="E165" s="6"/>
      <c r="F165" s="6"/>
      <c r="G165" s="6"/>
      <c r="H165" s="16"/>
      <c r="I165" s="16"/>
      <c r="J165" s="16"/>
      <c r="K165" s="16"/>
      <c r="L165" s="17" t="str">
        <f aca="false">IF(H165="","",H165+I165-J165-K165)</f>
        <v/>
      </c>
      <c r="M165" s="16"/>
      <c r="N165" s="16"/>
      <c r="O165" s="17" t="str">
        <f aca="false">IF(L165="","",L165-M165-N165)</f>
        <v/>
      </c>
      <c r="P165" s="18" t="str">
        <f aca="false">IF(OR(L165="",L165=0),"",O165/L165)</f>
        <v/>
      </c>
    </row>
    <row r="166" customFormat="false" ht="15" hidden="false" customHeight="false" outlineLevel="0" collapsed="false">
      <c r="A166" s="6"/>
      <c r="B166" s="15"/>
      <c r="C166" s="6"/>
      <c r="D166" s="6"/>
      <c r="E166" s="6"/>
      <c r="F166" s="6"/>
      <c r="G166" s="6"/>
      <c r="H166" s="16"/>
      <c r="I166" s="16"/>
      <c r="J166" s="16"/>
      <c r="K166" s="16"/>
      <c r="L166" s="17" t="str">
        <f aca="false">IF(H166="","",H166+I166-J166-K166)</f>
        <v/>
      </c>
      <c r="M166" s="16"/>
      <c r="N166" s="16"/>
      <c r="O166" s="17" t="str">
        <f aca="false">IF(L166="","",L166-M166-N166)</f>
        <v/>
      </c>
      <c r="P166" s="18" t="str">
        <f aca="false">IF(OR(L166="",L166=0),"",O166/L166)</f>
        <v/>
      </c>
    </row>
    <row r="167" customFormat="false" ht="15" hidden="false" customHeight="false" outlineLevel="0" collapsed="false">
      <c r="A167" s="6"/>
      <c r="B167" s="15"/>
      <c r="C167" s="6"/>
      <c r="D167" s="6"/>
      <c r="E167" s="6"/>
      <c r="F167" s="6"/>
      <c r="G167" s="6"/>
      <c r="H167" s="16"/>
      <c r="I167" s="16"/>
      <c r="J167" s="16"/>
      <c r="K167" s="16"/>
      <c r="L167" s="17" t="str">
        <f aca="false">IF(H167="","",H167+I167-J167-K167)</f>
        <v/>
      </c>
      <c r="M167" s="16"/>
      <c r="N167" s="16"/>
      <c r="O167" s="17" t="str">
        <f aca="false">IF(L167="","",L167-M167-N167)</f>
        <v/>
      </c>
      <c r="P167" s="18" t="str">
        <f aca="false">IF(OR(L167="",L167=0),"",O167/L167)</f>
        <v/>
      </c>
    </row>
    <row r="168" customFormat="false" ht="15" hidden="false" customHeight="false" outlineLevel="0" collapsed="false">
      <c r="A168" s="6"/>
      <c r="B168" s="15"/>
      <c r="C168" s="6"/>
      <c r="D168" s="6"/>
      <c r="E168" s="6"/>
      <c r="F168" s="6"/>
      <c r="G168" s="6"/>
      <c r="H168" s="16"/>
      <c r="I168" s="16"/>
      <c r="J168" s="16"/>
      <c r="K168" s="16"/>
      <c r="L168" s="17" t="str">
        <f aca="false">IF(H168="","",H168+I168-J168-K168)</f>
        <v/>
      </c>
      <c r="M168" s="16"/>
      <c r="N168" s="16"/>
      <c r="O168" s="17" t="str">
        <f aca="false">IF(L168="","",L168-M168-N168)</f>
        <v/>
      </c>
      <c r="P168" s="18" t="str">
        <f aca="false">IF(OR(L168="",L168=0),"",O168/L168)</f>
        <v/>
      </c>
    </row>
    <row r="169" customFormat="false" ht="15" hidden="false" customHeight="false" outlineLevel="0" collapsed="false">
      <c r="A169" s="6"/>
      <c r="B169" s="15"/>
      <c r="C169" s="6"/>
      <c r="D169" s="6"/>
      <c r="E169" s="6"/>
      <c r="F169" s="6"/>
      <c r="G169" s="6"/>
      <c r="H169" s="16"/>
      <c r="I169" s="16"/>
      <c r="J169" s="16"/>
      <c r="K169" s="16"/>
      <c r="L169" s="17" t="str">
        <f aca="false">IF(H169="","",H169+I169-J169-K169)</f>
        <v/>
      </c>
      <c r="M169" s="16"/>
      <c r="N169" s="16"/>
      <c r="O169" s="17" t="str">
        <f aca="false">IF(L169="","",L169-M169-N169)</f>
        <v/>
      </c>
      <c r="P169" s="18" t="str">
        <f aca="false">IF(OR(L169="",L169=0),"",O169/L169)</f>
        <v/>
      </c>
    </row>
    <row r="170" customFormat="false" ht="15" hidden="false" customHeight="false" outlineLevel="0" collapsed="false">
      <c r="A170" s="6"/>
      <c r="B170" s="15"/>
      <c r="C170" s="6"/>
      <c r="D170" s="6"/>
      <c r="E170" s="6"/>
      <c r="F170" s="6"/>
      <c r="G170" s="6"/>
      <c r="H170" s="16"/>
      <c r="I170" s="16"/>
      <c r="J170" s="16"/>
      <c r="K170" s="16"/>
      <c r="L170" s="17" t="str">
        <f aca="false">IF(H170="","",H170+I170-J170-K170)</f>
        <v/>
      </c>
      <c r="M170" s="16"/>
      <c r="N170" s="16"/>
      <c r="O170" s="17" t="str">
        <f aca="false">IF(L170="","",L170-M170-N170)</f>
        <v/>
      </c>
      <c r="P170" s="18" t="str">
        <f aca="false">IF(OR(L170="",L170=0),"",O170/L170)</f>
        <v/>
      </c>
    </row>
    <row r="171" customFormat="false" ht="15" hidden="false" customHeight="false" outlineLevel="0" collapsed="false">
      <c r="A171" s="6"/>
      <c r="B171" s="15"/>
      <c r="C171" s="6"/>
      <c r="D171" s="6"/>
      <c r="E171" s="6"/>
      <c r="F171" s="6"/>
      <c r="G171" s="6"/>
      <c r="H171" s="16"/>
      <c r="I171" s="16"/>
      <c r="J171" s="16"/>
      <c r="K171" s="16"/>
      <c r="L171" s="17" t="str">
        <f aca="false">IF(H171="","",H171+I171-J171-K171)</f>
        <v/>
      </c>
      <c r="M171" s="16"/>
      <c r="N171" s="16"/>
      <c r="O171" s="17" t="str">
        <f aca="false">IF(L171="","",L171-M171-N171)</f>
        <v/>
      </c>
      <c r="P171" s="18" t="str">
        <f aca="false">IF(OR(L171="",L171=0),"",O171/L171)</f>
        <v/>
      </c>
    </row>
    <row r="172" customFormat="false" ht="15" hidden="false" customHeight="false" outlineLevel="0" collapsed="false">
      <c r="A172" s="6"/>
      <c r="B172" s="15"/>
      <c r="C172" s="6"/>
      <c r="D172" s="6"/>
      <c r="E172" s="6"/>
      <c r="F172" s="6"/>
      <c r="G172" s="6"/>
      <c r="H172" s="16"/>
      <c r="I172" s="16"/>
      <c r="J172" s="16"/>
      <c r="K172" s="16"/>
      <c r="L172" s="17" t="str">
        <f aca="false">IF(H172="","",H172+I172-J172-K172)</f>
        <v/>
      </c>
      <c r="M172" s="16"/>
      <c r="N172" s="16"/>
      <c r="O172" s="17" t="str">
        <f aca="false">IF(L172="","",L172-M172-N172)</f>
        <v/>
      </c>
      <c r="P172" s="18" t="str">
        <f aca="false">IF(OR(L172="",L172=0),"",O172/L172)</f>
        <v/>
      </c>
    </row>
    <row r="173" customFormat="false" ht="15" hidden="false" customHeight="false" outlineLevel="0" collapsed="false">
      <c r="A173" s="6"/>
      <c r="B173" s="15"/>
      <c r="C173" s="6"/>
      <c r="D173" s="6"/>
      <c r="E173" s="6"/>
      <c r="F173" s="6"/>
      <c r="G173" s="6"/>
      <c r="H173" s="16"/>
      <c r="I173" s="16"/>
      <c r="J173" s="16"/>
      <c r="K173" s="16"/>
      <c r="L173" s="17" t="str">
        <f aca="false">IF(H173="","",H173+I173-J173-K173)</f>
        <v/>
      </c>
      <c r="M173" s="16"/>
      <c r="N173" s="16"/>
      <c r="O173" s="17" t="str">
        <f aca="false">IF(L173="","",L173-M173-N173)</f>
        <v/>
      </c>
      <c r="P173" s="18" t="str">
        <f aca="false">IF(OR(L173="",L173=0),"",O173/L173)</f>
        <v/>
      </c>
    </row>
    <row r="174" customFormat="false" ht="15" hidden="false" customHeight="false" outlineLevel="0" collapsed="false">
      <c r="A174" s="6"/>
      <c r="B174" s="15"/>
      <c r="C174" s="6"/>
      <c r="D174" s="6"/>
      <c r="E174" s="6"/>
      <c r="F174" s="6"/>
      <c r="G174" s="6"/>
      <c r="H174" s="16"/>
      <c r="I174" s="16"/>
      <c r="J174" s="16"/>
      <c r="K174" s="16"/>
      <c r="L174" s="17" t="str">
        <f aca="false">IF(H174="","",H174+I174-J174-K174)</f>
        <v/>
      </c>
      <c r="M174" s="16"/>
      <c r="N174" s="16"/>
      <c r="O174" s="17" t="str">
        <f aca="false">IF(L174="","",L174-M174-N174)</f>
        <v/>
      </c>
      <c r="P174" s="18" t="str">
        <f aca="false">IF(OR(L174="",L174=0),"",O174/L174)</f>
        <v/>
      </c>
    </row>
    <row r="175" customFormat="false" ht="15" hidden="false" customHeight="false" outlineLevel="0" collapsed="false">
      <c r="A175" s="6"/>
      <c r="B175" s="15"/>
      <c r="C175" s="6"/>
      <c r="D175" s="6"/>
      <c r="E175" s="6"/>
      <c r="F175" s="6"/>
      <c r="G175" s="6"/>
      <c r="H175" s="16"/>
      <c r="I175" s="16"/>
      <c r="J175" s="16"/>
      <c r="K175" s="16"/>
      <c r="L175" s="17" t="str">
        <f aca="false">IF(H175="","",H175+I175-J175-K175)</f>
        <v/>
      </c>
      <c r="M175" s="16"/>
      <c r="N175" s="16"/>
      <c r="O175" s="17" t="str">
        <f aca="false">IF(L175="","",L175-M175-N175)</f>
        <v/>
      </c>
      <c r="P175" s="18" t="str">
        <f aca="false">IF(OR(L175="",L175=0),"",O175/L175)</f>
        <v/>
      </c>
    </row>
    <row r="176" customFormat="false" ht="15" hidden="false" customHeight="false" outlineLevel="0" collapsed="false">
      <c r="A176" s="6"/>
      <c r="B176" s="15"/>
      <c r="C176" s="6"/>
      <c r="D176" s="6"/>
      <c r="E176" s="6"/>
      <c r="F176" s="6"/>
      <c r="G176" s="6"/>
      <c r="H176" s="16"/>
      <c r="I176" s="16"/>
      <c r="J176" s="16"/>
      <c r="K176" s="16"/>
      <c r="L176" s="17" t="str">
        <f aca="false">IF(H176="","",H176+I176-J176-K176)</f>
        <v/>
      </c>
      <c r="M176" s="16"/>
      <c r="N176" s="16"/>
      <c r="O176" s="17" t="str">
        <f aca="false">IF(L176="","",L176-M176-N176)</f>
        <v/>
      </c>
      <c r="P176" s="18" t="str">
        <f aca="false">IF(OR(L176="",L176=0),"",O176/L176)</f>
        <v/>
      </c>
    </row>
    <row r="177" customFormat="false" ht="15" hidden="false" customHeight="false" outlineLevel="0" collapsed="false">
      <c r="A177" s="6"/>
      <c r="B177" s="15"/>
      <c r="C177" s="6"/>
      <c r="D177" s="6"/>
      <c r="E177" s="6"/>
      <c r="F177" s="6"/>
      <c r="G177" s="6"/>
      <c r="H177" s="16"/>
      <c r="I177" s="16"/>
      <c r="J177" s="16"/>
      <c r="K177" s="16"/>
      <c r="L177" s="17" t="str">
        <f aca="false">IF(H177="","",H177+I177-J177-K177)</f>
        <v/>
      </c>
      <c r="M177" s="16"/>
      <c r="N177" s="16"/>
      <c r="O177" s="17" t="str">
        <f aca="false">IF(L177="","",L177-M177-N177)</f>
        <v/>
      </c>
      <c r="P177" s="18" t="str">
        <f aca="false">IF(OR(L177="",L177=0),"",O177/L177)</f>
        <v/>
      </c>
    </row>
    <row r="178" customFormat="false" ht="15" hidden="false" customHeight="false" outlineLevel="0" collapsed="false">
      <c r="A178" s="6"/>
      <c r="B178" s="15"/>
      <c r="C178" s="6"/>
      <c r="D178" s="6"/>
      <c r="E178" s="6"/>
      <c r="F178" s="6"/>
      <c r="G178" s="6"/>
      <c r="H178" s="16"/>
      <c r="I178" s="16"/>
      <c r="J178" s="16"/>
      <c r="K178" s="16"/>
      <c r="L178" s="17" t="str">
        <f aca="false">IF(H178="","",H178+I178-J178-K178)</f>
        <v/>
      </c>
      <c r="M178" s="16"/>
      <c r="N178" s="16"/>
      <c r="O178" s="17" t="str">
        <f aca="false">IF(L178="","",L178-M178-N178)</f>
        <v/>
      </c>
      <c r="P178" s="18" t="str">
        <f aca="false">IF(OR(L178="",L178=0),"",O178/L178)</f>
        <v/>
      </c>
    </row>
    <row r="179" customFormat="false" ht="15" hidden="false" customHeight="false" outlineLevel="0" collapsed="false">
      <c r="A179" s="6"/>
      <c r="B179" s="15"/>
      <c r="C179" s="6"/>
      <c r="D179" s="6"/>
      <c r="E179" s="6"/>
      <c r="F179" s="6"/>
      <c r="G179" s="6"/>
      <c r="H179" s="16"/>
      <c r="I179" s="16"/>
      <c r="J179" s="16"/>
      <c r="K179" s="16"/>
      <c r="L179" s="17" t="str">
        <f aca="false">IF(H179="","",H179+I179-J179-K179)</f>
        <v/>
      </c>
      <c r="M179" s="16"/>
      <c r="N179" s="16"/>
      <c r="O179" s="17" t="str">
        <f aca="false">IF(L179="","",L179-M179-N179)</f>
        <v/>
      </c>
      <c r="P179" s="18" t="str">
        <f aca="false">IF(OR(L179="",L179=0),"",O179/L179)</f>
        <v/>
      </c>
    </row>
    <row r="180" customFormat="false" ht="15" hidden="false" customHeight="false" outlineLevel="0" collapsed="false">
      <c r="A180" s="6"/>
      <c r="B180" s="15"/>
      <c r="C180" s="6"/>
      <c r="D180" s="6"/>
      <c r="E180" s="6"/>
      <c r="F180" s="6"/>
      <c r="G180" s="6"/>
      <c r="H180" s="16"/>
      <c r="I180" s="16"/>
      <c r="J180" s="16"/>
      <c r="K180" s="16"/>
      <c r="L180" s="17" t="str">
        <f aca="false">IF(H180="","",H180+I180-J180-K180)</f>
        <v/>
      </c>
      <c r="M180" s="16"/>
      <c r="N180" s="16"/>
      <c r="O180" s="17" t="str">
        <f aca="false">IF(L180="","",L180-M180-N180)</f>
        <v/>
      </c>
      <c r="P180" s="18" t="str">
        <f aca="false">IF(OR(L180="",L180=0),"",O180/L180)</f>
        <v/>
      </c>
    </row>
    <row r="181" customFormat="false" ht="15" hidden="false" customHeight="false" outlineLevel="0" collapsed="false">
      <c r="A181" s="6"/>
      <c r="B181" s="15"/>
      <c r="C181" s="6"/>
      <c r="D181" s="6"/>
      <c r="E181" s="6"/>
      <c r="F181" s="6"/>
      <c r="G181" s="6"/>
      <c r="H181" s="16"/>
      <c r="I181" s="16"/>
      <c r="J181" s="16"/>
      <c r="K181" s="16"/>
      <c r="L181" s="17" t="str">
        <f aca="false">IF(H181="","",H181+I181-J181-K181)</f>
        <v/>
      </c>
      <c r="M181" s="16"/>
      <c r="N181" s="16"/>
      <c r="O181" s="17" t="str">
        <f aca="false">IF(L181="","",L181-M181-N181)</f>
        <v/>
      </c>
      <c r="P181" s="18" t="str">
        <f aca="false">IF(OR(L181="",L181=0),"",O181/L181)</f>
        <v/>
      </c>
    </row>
    <row r="182" customFormat="false" ht="15" hidden="false" customHeight="false" outlineLevel="0" collapsed="false">
      <c r="A182" s="6"/>
      <c r="B182" s="15"/>
      <c r="C182" s="6"/>
      <c r="D182" s="6"/>
      <c r="E182" s="6"/>
      <c r="F182" s="6"/>
      <c r="G182" s="6"/>
      <c r="H182" s="16"/>
      <c r="I182" s="16"/>
      <c r="J182" s="16"/>
      <c r="K182" s="16"/>
      <c r="L182" s="17" t="str">
        <f aca="false">IF(H182="","",H182+I182-J182-K182)</f>
        <v/>
      </c>
      <c r="M182" s="16"/>
      <c r="N182" s="16"/>
      <c r="O182" s="17" t="str">
        <f aca="false">IF(L182="","",L182-M182-N182)</f>
        <v/>
      </c>
      <c r="P182" s="18" t="str">
        <f aca="false">IF(OR(L182="",L182=0),"",O182/L182)</f>
        <v/>
      </c>
    </row>
    <row r="183" customFormat="false" ht="15" hidden="false" customHeight="false" outlineLevel="0" collapsed="false">
      <c r="A183" s="6"/>
      <c r="B183" s="15"/>
      <c r="C183" s="6"/>
      <c r="D183" s="6"/>
      <c r="E183" s="6"/>
      <c r="F183" s="6"/>
      <c r="G183" s="6"/>
      <c r="H183" s="16"/>
      <c r="I183" s="16"/>
      <c r="J183" s="16"/>
      <c r="K183" s="16"/>
      <c r="L183" s="17" t="str">
        <f aca="false">IF(H183="","",H183+I183-J183-K183)</f>
        <v/>
      </c>
      <c r="M183" s="16"/>
      <c r="N183" s="16"/>
      <c r="O183" s="17" t="str">
        <f aca="false">IF(L183="","",L183-M183-N183)</f>
        <v/>
      </c>
      <c r="P183" s="18" t="str">
        <f aca="false">IF(OR(L183="",L183=0),"",O183/L183)</f>
        <v/>
      </c>
    </row>
    <row r="184" customFormat="false" ht="15" hidden="false" customHeight="false" outlineLevel="0" collapsed="false">
      <c r="A184" s="6"/>
      <c r="B184" s="15"/>
      <c r="C184" s="6"/>
      <c r="D184" s="6"/>
      <c r="E184" s="6"/>
      <c r="F184" s="6"/>
      <c r="G184" s="6"/>
      <c r="H184" s="16"/>
      <c r="I184" s="16"/>
      <c r="J184" s="16"/>
      <c r="K184" s="16"/>
      <c r="L184" s="17" t="str">
        <f aca="false">IF(H184="","",H184+I184-J184-K184)</f>
        <v/>
      </c>
      <c r="M184" s="16"/>
      <c r="N184" s="16"/>
      <c r="O184" s="17" t="str">
        <f aca="false">IF(L184="","",L184-M184-N184)</f>
        <v/>
      </c>
      <c r="P184" s="18" t="str">
        <f aca="false">IF(OR(L184="",L184=0),"",O184/L184)</f>
        <v/>
      </c>
    </row>
    <row r="185" customFormat="false" ht="15" hidden="false" customHeight="false" outlineLevel="0" collapsed="false">
      <c r="A185" s="6"/>
      <c r="B185" s="15"/>
      <c r="C185" s="6"/>
      <c r="D185" s="6"/>
      <c r="E185" s="6"/>
      <c r="F185" s="6"/>
      <c r="G185" s="6"/>
      <c r="H185" s="16"/>
      <c r="I185" s="16"/>
      <c r="J185" s="16"/>
      <c r="K185" s="16"/>
      <c r="L185" s="17" t="str">
        <f aca="false">IF(H185="","",H185+I185-J185-K185)</f>
        <v/>
      </c>
      <c r="M185" s="16"/>
      <c r="N185" s="16"/>
      <c r="O185" s="17" t="str">
        <f aca="false">IF(L185="","",L185-M185-N185)</f>
        <v/>
      </c>
      <c r="P185" s="18" t="str">
        <f aca="false">IF(OR(L185="",L185=0),"",O185/L185)</f>
        <v/>
      </c>
    </row>
    <row r="186" customFormat="false" ht="15" hidden="false" customHeight="false" outlineLevel="0" collapsed="false">
      <c r="A186" s="6"/>
      <c r="B186" s="15"/>
      <c r="C186" s="6"/>
      <c r="D186" s="6"/>
      <c r="E186" s="6"/>
      <c r="F186" s="6"/>
      <c r="G186" s="6"/>
      <c r="H186" s="16"/>
      <c r="I186" s="16"/>
      <c r="J186" s="16"/>
      <c r="K186" s="16"/>
      <c r="L186" s="17" t="str">
        <f aca="false">IF(H186="","",H186+I186-J186-K186)</f>
        <v/>
      </c>
      <c r="M186" s="16"/>
      <c r="N186" s="16"/>
      <c r="O186" s="17" t="str">
        <f aca="false">IF(L186="","",L186-M186-N186)</f>
        <v/>
      </c>
      <c r="P186" s="18" t="str">
        <f aca="false">IF(OR(L186="",L186=0),"",O186/L186)</f>
        <v/>
      </c>
    </row>
    <row r="187" customFormat="false" ht="15" hidden="false" customHeight="false" outlineLevel="0" collapsed="false">
      <c r="A187" s="6"/>
      <c r="B187" s="15"/>
      <c r="C187" s="6"/>
      <c r="D187" s="6"/>
      <c r="E187" s="6"/>
      <c r="F187" s="6"/>
      <c r="G187" s="6"/>
      <c r="H187" s="16"/>
      <c r="I187" s="16"/>
      <c r="J187" s="16"/>
      <c r="K187" s="16"/>
      <c r="L187" s="17" t="str">
        <f aca="false">IF(H187="","",H187+I187-J187-K187)</f>
        <v/>
      </c>
      <c r="M187" s="16"/>
      <c r="N187" s="16"/>
      <c r="O187" s="17" t="str">
        <f aca="false">IF(L187="","",L187-M187-N187)</f>
        <v/>
      </c>
      <c r="P187" s="18" t="str">
        <f aca="false">IF(OR(L187="",L187=0),"",O187/L187)</f>
        <v/>
      </c>
    </row>
    <row r="188" customFormat="false" ht="15" hidden="false" customHeight="false" outlineLevel="0" collapsed="false">
      <c r="A188" s="6"/>
      <c r="B188" s="15"/>
      <c r="C188" s="6"/>
      <c r="D188" s="6"/>
      <c r="E188" s="6"/>
      <c r="F188" s="6"/>
      <c r="G188" s="6"/>
      <c r="H188" s="16"/>
      <c r="I188" s="16"/>
      <c r="J188" s="16"/>
      <c r="K188" s="16"/>
      <c r="L188" s="17" t="str">
        <f aca="false">IF(H188="","",H188+I188-J188-K188)</f>
        <v/>
      </c>
      <c r="M188" s="16"/>
      <c r="N188" s="16"/>
      <c r="O188" s="17" t="str">
        <f aca="false">IF(L188="","",L188-M188-N188)</f>
        <v/>
      </c>
      <c r="P188" s="18" t="str">
        <f aca="false">IF(OR(L188="",L188=0),"",O188/L188)</f>
        <v/>
      </c>
    </row>
    <row r="189" customFormat="false" ht="15" hidden="false" customHeight="false" outlineLevel="0" collapsed="false">
      <c r="A189" s="6"/>
      <c r="B189" s="15"/>
      <c r="C189" s="6"/>
      <c r="D189" s="6"/>
      <c r="E189" s="6"/>
      <c r="F189" s="6"/>
      <c r="G189" s="6"/>
      <c r="H189" s="16"/>
      <c r="I189" s="16"/>
      <c r="J189" s="16"/>
      <c r="K189" s="16"/>
      <c r="L189" s="17" t="str">
        <f aca="false">IF(H189="","",H189+I189-J189-K189)</f>
        <v/>
      </c>
      <c r="M189" s="16"/>
      <c r="N189" s="16"/>
      <c r="O189" s="17" t="str">
        <f aca="false">IF(L189="","",L189-M189-N189)</f>
        <v/>
      </c>
      <c r="P189" s="18" t="str">
        <f aca="false">IF(OR(L189="",L189=0),"",O189/L189)</f>
        <v/>
      </c>
    </row>
    <row r="190" customFormat="false" ht="15" hidden="false" customHeight="false" outlineLevel="0" collapsed="false">
      <c r="A190" s="6"/>
      <c r="B190" s="15"/>
      <c r="C190" s="6"/>
      <c r="D190" s="6"/>
      <c r="E190" s="6"/>
      <c r="F190" s="6"/>
      <c r="G190" s="6"/>
      <c r="H190" s="16"/>
      <c r="I190" s="16"/>
      <c r="J190" s="16"/>
      <c r="K190" s="16"/>
      <c r="L190" s="17" t="str">
        <f aca="false">IF(H190="","",H190+I190-J190-K190)</f>
        <v/>
      </c>
      <c r="M190" s="16"/>
      <c r="N190" s="16"/>
      <c r="O190" s="17" t="str">
        <f aca="false">IF(L190="","",L190-M190-N190)</f>
        <v/>
      </c>
      <c r="P190" s="18" t="str">
        <f aca="false">IF(OR(L190="",L190=0),"",O190/L190)</f>
        <v/>
      </c>
    </row>
    <row r="191" customFormat="false" ht="15" hidden="false" customHeight="false" outlineLevel="0" collapsed="false">
      <c r="A191" s="6"/>
      <c r="B191" s="15"/>
      <c r="C191" s="6"/>
      <c r="D191" s="6"/>
      <c r="E191" s="6"/>
      <c r="F191" s="6"/>
      <c r="G191" s="6"/>
      <c r="H191" s="16"/>
      <c r="I191" s="16"/>
      <c r="J191" s="16"/>
      <c r="K191" s="16"/>
      <c r="L191" s="17" t="str">
        <f aca="false">IF(H191="","",H191+I191-J191-K191)</f>
        <v/>
      </c>
      <c r="M191" s="16"/>
      <c r="N191" s="16"/>
      <c r="O191" s="17" t="str">
        <f aca="false">IF(L191="","",L191-M191-N191)</f>
        <v/>
      </c>
      <c r="P191" s="18" t="str">
        <f aca="false">IF(OR(L191="",L191=0),"",O191/L191)</f>
        <v/>
      </c>
    </row>
    <row r="192" customFormat="false" ht="15" hidden="false" customHeight="false" outlineLevel="0" collapsed="false">
      <c r="A192" s="6"/>
      <c r="B192" s="15"/>
      <c r="C192" s="6"/>
      <c r="D192" s="6"/>
      <c r="E192" s="6"/>
      <c r="F192" s="6"/>
      <c r="G192" s="6"/>
      <c r="H192" s="16"/>
      <c r="I192" s="16"/>
      <c r="J192" s="16"/>
      <c r="K192" s="16"/>
      <c r="L192" s="17" t="str">
        <f aca="false">IF(H192="","",H192+I192-J192-K192)</f>
        <v/>
      </c>
      <c r="M192" s="16"/>
      <c r="N192" s="16"/>
      <c r="O192" s="17" t="str">
        <f aca="false">IF(L192="","",L192-M192-N192)</f>
        <v/>
      </c>
      <c r="P192" s="18" t="str">
        <f aca="false">IF(OR(L192="",L192=0),"",O192/L192)</f>
        <v/>
      </c>
    </row>
    <row r="193" customFormat="false" ht="15" hidden="false" customHeight="false" outlineLevel="0" collapsed="false">
      <c r="A193" s="6"/>
      <c r="B193" s="15"/>
      <c r="C193" s="6"/>
      <c r="D193" s="6"/>
      <c r="E193" s="6"/>
      <c r="F193" s="6"/>
      <c r="G193" s="6"/>
      <c r="H193" s="16"/>
      <c r="I193" s="16"/>
      <c r="J193" s="16"/>
      <c r="K193" s="16"/>
      <c r="L193" s="17" t="str">
        <f aca="false">IF(H193="","",H193+I193-J193-K193)</f>
        <v/>
      </c>
      <c r="M193" s="16"/>
      <c r="N193" s="16"/>
      <c r="O193" s="17" t="str">
        <f aca="false">IF(L193="","",L193-M193-N193)</f>
        <v/>
      </c>
      <c r="P193" s="18" t="str">
        <f aca="false">IF(OR(L193="",L193=0),"",O193/L193)</f>
        <v/>
      </c>
    </row>
    <row r="194" customFormat="false" ht="15" hidden="false" customHeight="false" outlineLevel="0" collapsed="false">
      <c r="A194" s="6"/>
      <c r="B194" s="15"/>
      <c r="C194" s="6"/>
      <c r="D194" s="6"/>
      <c r="E194" s="6"/>
      <c r="F194" s="6"/>
      <c r="G194" s="6"/>
      <c r="H194" s="16"/>
      <c r="I194" s="16"/>
      <c r="J194" s="16"/>
      <c r="K194" s="16"/>
      <c r="L194" s="17" t="str">
        <f aca="false">IF(H194="","",H194+I194-J194-K194)</f>
        <v/>
      </c>
      <c r="M194" s="16"/>
      <c r="N194" s="16"/>
      <c r="O194" s="17" t="str">
        <f aca="false">IF(L194="","",L194-M194-N194)</f>
        <v/>
      </c>
      <c r="P194" s="18" t="str">
        <f aca="false">IF(OR(L194="",L194=0),"",O194/L194)</f>
        <v/>
      </c>
    </row>
    <row r="195" customFormat="false" ht="15" hidden="false" customHeight="false" outlineLevel="0" collapsed="false">
      <c r="A195" s="6"/>
      <c r="B195" s="15"/>
      <c r="C195" s="6"/>
      <c r="D195" s="6"/>
      <c r="E195" s="6"/>
      <c r="F195" s="6"/>
      <c r="G195" s="6"/>
      <c r="H195" s="16"/>
      <c r="I195" s="16"/>
      <c r="J195" s="16"/>
      <c r="K195" s="16"/>
      <c r="L195" s="17" t="str">
        <f aca="false">IF(H195="","",H195+I195-J195-K195)</f>
        <v/>
      </c>
      <c r="M195" s="16"/>
      <c r="N195" s="16"/>
      <c r="O195" s="17" t="str">
        <f aca="false">IF(L195="","",L195-M195-N195)</f>
        <v/>
      </c>
      <c r="P195" s="18" t="str">
        <f aca="false">IF(OR(L195="",L195=0),"",O195/L195)</f>
        <v/>
      </c>
    </row>
    <row r="196" customFormat="false" ht="15" hidden="false" customHeight="false" outlineLevel="0" collapsed="false">
      <c r="A196" s="6"/>
      <c r="B196" s="15"/>
      <c r="C196" s="6"/>
      <c r="D196" s="6"/>
      <c r="E196" s="6"/>
      <c r="F196" s="6"/>
      <c r="G196" s="6"/>
      <c r="H196" s="16"/>
      <c r="I196" s="16"/>
      <c r="J196" s="16"/>
      <c r="K196" s="16"/>
      <c r="L196" s="17" t="str">
        <f aca="false">IF(H196="","",H196+I196-J196-K196)</f>
        <v/>
      </c>
      <c r="M196" s="16"/>
      <c r="N196" s="16"/>
      <c r="O196" s="17" t="str">
        <f aca="false">IF(L196="","",L196-M196-N196)</f>
        <v/>
      </c>
      <c r="P196" s="18" t="str">
        <f aca="false">IF(OR(L196="",L196=0),"",O196/L196)</f>
        <v/>
      </c>
    </row>
    <row r="197" customFormat="false" ht="15" hidden="false" customHeight="false" outlineLevel="0" collapsed="false">
      <c r="A197" s="6"/>
      <c r="B197" s="15"/>
      <c r="C197" s="6"/>
      <c r="D197" s="6"/>
      <c r="E197" s="6"/>
      <c r="F197" s="6"/>
      <c r="G197" s="6"/>
      <c r="H197" s="16"/>
      <c r="I197" s="16"/>
      <c r="J197" s="16"/>
      <c r="K197" s="16"/>
      <c r="L197" s="17" t="str">
        <f aca="false">IF(H197="","",H197+I197-J197-K197)</f>
        <v/>
      </c>
      <c r="M197" s="16"/>
      <c r="N197" s="16"/>
      <c r="O197" s="17" t="str">
        <f aca="false">IF(L197="","",L197-M197-N197)</f>
        <v/>
      </c>
      <c r="P197" s="18" t="str">
        <f aca="false">IF(OR(L197="",L197=0),"",O197/L197)</f>
        <v/>
      </c>
    </row>
    <row r="198" customFormat="false" ht="15" hidden="false" customHeight="false" outlineLevel="0" collapsed="false">
      <c r="A198" s="6"/>
      <c r="B198" s="15"/>
      <c r="C198" s="6"/>
      <c r="D198" s="6"/>
      <c r="E198" s="6"/>
      <c r="F198" s="6"/>
      <c r="G198" s="6"/>
      <c r="H198" s="16"/>
      <c r="I198" s="16"/>
      <c r="J198" s="16"/>
      <c r="K198" s="16"/>
      <c r="L198" s="17" t="str">
        <f aca="false">IF(H198="","",H198+I198-J198-K198)</f>
        <v/>
      </c>
      <c r="M198" s="16"/>
      <c r="N198" s="16"/>
      <c r="O198" s="17" t="str">
        <f aca="false">IF(L198="","",L198-M198-N198)</f>
        <v/>
      </c>
      <c r="P198" s="18" t="str">
        <f aca="false">IF(OR(L198="",L198=0),"",O198/L198)</f>
        <v/>
      </c>
    </row>
    <row r="199" customFormat="false" ht="15" hidden="false" customHeight="false" outlineLevel="0" collapsed="false">
      <c r="A199" s="6"/>
      <c r="B199" s="15"/>
      <c r="C199" s="6"/>
      <c r="D199" s="6"/>
      <c r="E199" s="6"/>
      <c r="F199" s="6"/>
      <c r="G199" s="6"/>
      <c r="H199" s="16"/>
      <c r="I199" s="16"/>
      <c r="J199" s="16"/>
      <c r="K199" s="16"/>
      <c r="L199" s="17" t="str">
        <f aca="false">IF(H199="","",H199+I199-J199-K199)</f>
        <v/>
      </c>
      <c r="M199" s="16"/>
      <c r="N199" s="16"/>
      <c r="O199" s="17" t="str">
        <f aca="false">IF(L199="","",L199-M199-N199)</f>
        <v/>
      </c>
      <c r="P199" s="18" t="str">
        <f aca="false">IF(OR(L199="",L199=0),"",O199/L199)</f>
        <v/>
      </c>
    </row>
    <row r="200" customFormat="false" ht="15" hidden="false" customHeight="false" outlineLevel="0" collapsed="false">
      <c r="A200" s="6"/>
      <c r="B200" s="15"/>
      <c r="C200" s="6"/>
      <c r="D200" s="6"/>
      <c r="E200" s="6"/>
      <c r="F200" s="6"/>
      <c r="G200" s="6"/>
      <c r="H200" s="16"/>
      <c r="I200" s="16"/>
      <c r="J200" s="16"/>
      <c r="K200" s="16"/>
      <c r="L200" s="17" t="str">
        <f aca="false">IF(H200="","",H200+I200-J200-K200)</f>
        <v/>
      </c>
      <c r="M200" s="16"/>
      <c r="N200" s="16"/>
      <c r="O200" s="17" t="str">
        <f aca="false">IF(L200="","",L200-M200-N200)</f>
        <v/>
      </c>
      <c r="P200" s="18" t="str">
        <f aca="false">IF(OR(L200="",L200=0),"",O200/L200)</f>
        <v/>
      </c>
    </row>
    <row r="201" customFormat="false" ht="15" hidden="false" customHeight="false" outlineLevel="0" collapsed="false">
      <c r="A201" s="6"/>
      <c r="B201" s="15"/>
      <c r="C201" s="6"/>
      <c r="D201" s="6"/>
      <c r="E201" s="6"/>
      <c r="F201" s="6"/>
      <c r="G201" s="6"/>
      <c r="H201" s="16"/>
      <c r="I201" s="16"/>
      <c r="J201" s="16"/>
      <c r="K201" s="16"/>
      <c r="L201" s="17" t="str">
        <f aca="false">IF(H201="","",H201+I201-J201-K201)</f>
        <v/>
      </c>
      <c r="M201" s="16"/>
      <c r="N201" s="16"/>
      <c r="O201" s="17" t="str">
        <f aca="false">IF(L201="","",L201-M201-N201)</f>
        <v/>
      </c>
      <c r="P201" s="18" t="str">
        <f aca="false">IF(OR(L201="",L201=0),"",O201/L201)</f>
        <v/>
      </c>
    </row>
    <row r="202" customFormat="false" ht="15" hidden="false" customHeight="false" outlineLevel="0" collapsed="false">
      <c r="A202" s="6"/>
      <c r="B202" s="15"/>
      <c r="C202" s="6"/>
      <c r="D202" s="6"/>
      <c r="E202" s="6"/>
      <c r="F202" s="6"/>
      <c r="G202" s="6"/>
      <c r="H202" s="16"/>
      <c r="I202" s="16"/>
      <c r="J202" s="16"/>
      <c r="K202" s="16"/>
      <c r="L202" s="17" t="str">
        <f aca="false">IF(H202="","",H202+I202-J202-K202)</f>
        <v/>
      </c>
      <c r="M202" s="16"/>
      <c r="N202" s="16"/>
      <c r="O202" s="17" t="str">
        <f aca="false">IF(L202="","",L202-M202-N202)</f>
        <v/>
      </c>
      <c r="P202" s="18" t="str">
        <f aca="false">IF(OR(L202="",L202=0),"",O202/L202)</f>
        <v/>
      </c>
    </row>
    <row r="203" customFormat="false" ht="15" hidden="false" customHeight="false" outlineLevel="0" collapsed="false">
      <c r="A203" s="6"/>
      <c r="B203" s="15"/>
      <c r="C203" s="6"/>
      <c r="D203" s="6"/>
      <c r="E203" s="6"/>
      <c r="F203" s="6"/>
      <c r="G203" s="6"/>
      <c r="H203" s="16"/>
      <c r="I203" s="16"/>
      <c r="J203" s="16"/>
      <c r="K203" s="16"/>
      <c r="L203" s="17" t="str">
        <f aca="false">IF(H203="","",H203+I203-J203-K203)</f>
        <v/>
      </c>
      <c r="M203" s="16"/>
      <c r="N203" s="16"/>
      <c r="O203" s="17" t="str">
        <f aca="false">IF(L203="","",L203-M203-N203)</f>
        <v/>
      </c>
      <c r="P203" s="18" t="str">
        <f aca="false">IF(OR(L203="",L203=0),"",O203/L203)</f>
        <v/>
      </c>
    </row>
    <row r="204" customFormat="false" ht="15" hidden="false" customHeight="false" outlineLevel="0" collapsed="false">
      <c r="A204" s="6"/>
      <c r="B204" s="15"/>
      <c r="C204" s="6"/>
      <c r="D204" s="6"/>
      <c r="E204" s="6"/>
      <c r="F204" s="6"/>
      <c r="G204" s="6"/>
      <c r="H204" s="16"/>
      <c r="I204" s="16"/>
      <c r="J204" s="16"/>
      <c r="K204" s="16"/>
      <c r="L204" s="17" t="str">
        <f aca="false">IF(H204="","",H204+I204-J204-K204)</f>
        <v/>
      </c>
      <c r="M204" s="16"/>
      <c r="N204" s="16"/>
      <c r="O204" s="17" t="str">
        <f aca="false">IF(L204="","",L204-M204-N204)</f>
        <v/>
      </c>
      <c r="P204" s="18" t="str">
        <f aca="false">IF(OR(L204="",L204=0),"",O204/L204)</f>
        <v/>
      </c>
    </row>
  </sheetData>
  <conditionalFormatting sqref="P5:P204">
    <cfRule type="cellIs" priority="2" operator="lessThan" aboveAverage="0" equalAverage="0" bottom="0" percent="0" rank="0" text="" dxfId="0">
      <formula>0</formula>
    </cfRule>
    <cfRule type="cellIs" priority="3" operator="lessThan" aboveAverage="0" equalAverage="0" bottom="0" percent="0" rank="0" text="" dxfId="1">
      <formula>0.2</formula>
    </cfRule>
  </conditionalFormatting>
  <dataValidations count="1">
    <dataValidation allowBlank="true" errorStyle="stop" operator="between" showDropDown="false" showErrorMessage="false" showInputMessage="false" sqref="C5:C204" type="list">
      <formula1>"Etsy,Direktverkauf,Craftcloud,Xometry,Sonstige"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5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12"/>
    <col collapsed="false" customWidth="true" hidden="false" outlineLevel="0" max="3" min="3" style="0" width="26"/>
    <col collapsed="false" customWidth="true" hidden="false" outlineLevel="0" max="4" min="4" style="0" width="32"/>
    <col collapsed="false" customWidth="true" hidden="false" outlineLevel="0" max="5" min="5" style="0" width="22"/>
    <col collapsed="false" customWidth="true" hidden="false" outlineLevel="0" max="6" min="6" style="0" width="14"/>
    <col collapsed="false" customWidth="true" hidden="false" outlineLevel="0" max="7" min="7" style="0" width="13"/>
    <col collapsed="false" customWidth="true" hidden="false" outlineLevel="0" max="8" min="8" style="0" width="12"/>
    <col collapsed="false" customWidth="true" hidden="false" outlineLevel="0" max="9" min="9" style="0" width="13"/>
    <col collapsed="false" customWidth="true" hidden="false" outlineLevel="0" max="10" min="10" style="0" width="16"/>
    <col collapsed="false" customWidth="true" hidden="false" outlineLevel="0" max="11" min="11" style="0" width="15"/>
    <col collapsed="false" customWidth="true" hidden="false" outlineLevel="0" max="12" min="12" style="0" width="20"/>
  </cols>
  <sheetData>
    <row r="1" customFormat="false" ht="21.75" hidden="false" customHeight="true" outlineLevel="0" collapsed="false">
      <c r="A1" s="1" t="s">
        <v>43</v>
      </c>
    </row>
    <row r="2" customFormat="false" ht="15" hidden="false" customHeight="false" outlineLevel="0" collapsed="false">
      <c r="A2" s="2" t="s">
        <v>44</v>
      </c>
    </row>
    <row r="4" customFormat="false" ht="30" hidden="false" customHeight="true" outlineLevel="0" collapsed="false">
      <c r="A4" s="14" t="s">
        <v>45</v>
      </c>
      <c r="B4" s="14" t="s">
        <v>28</v>
      </c>
      <c r="C4" s="14" t="s">
        <v>46</v>
      </c>
      <c r="D4" s="14" t="s">
        <v>47</v>
      </c>
      <c r="E4" s="14" t="s">
        <v>48</v>
      </c>
      <c r="F4" s="14" t="s">
        <v>49</v>
      </c>
      <c r="G4" s="14" t="s">
        <v>50</v>
      </c>
      <c r="H4" s="14" t="s">
        <v>51</v>
      </c>
      <c r="I4" s="14" t="s">
        <v>52</v>
      </c>
      <c r="J4" s="14" t="s">
        <v>53</v>
      </c>
      <c r="K4" s="14" t="s">
        <v>54</v>
      </c>
      <c r="L4" s="14" t="s">
        <v>55</v>
      </c>
    </row>
    <row r="5" customFormat="false" ht="15" hidden="false" customHeight="false" outlineLevel="0" collapsed="false">
      <c r="A5" s="6"/>
      <c r="B5" s="15"/>
      <c r="C5" s="6"/>
      <c r="D5" s="6"/>
      <c r="E5" s="6"/>
      <c r="F5" s="6"/>
      <c r="G5" s="16"/>
      <c r="H5" s="16"/>
      <c r="I5" s="17" t="str">
        <f aca="false">IF(G5="","",G5+H5)</f>
        <v/>
      </c>
      <c r="J5" s="6"/>
      <c r="K5" s="6"/>
      <c r="L5" s="19" t="str">
        <f aca="false">IF(A5="","",IF(K5&lt;&gt;"ja","BELEG FEHLT",IF(J5="privat","Auslage verrechnen","ok")))</f>
        <v/>
      </c>
    </row>
    <row r="6" customFormat="false" ht="15" hidden="false" customHeight="false" outlineLevel="0" collapsed="false">
      <c r="A6" s="6"/>
      <c r="B6" s="15"/>
      <c r="C6" s="6"/>
      <c r="D6" s="6"/>
      <c r="E6" s="6"/>
      <c r="F6" s="6"/>
      <c r="G6" s="16"/>
      <c r="H6" s="16"/>
      <c r="I6" s="17" t="str">
        <f aca="false">IF(G6="","",G6+H6)</f>
        <v/>
      </c>
      <c r="J6" s="6"/>
      <c r="K6" s="6"/>
      <c r="L6" s="19" t="str">
        <f aca="false">IF(A6="","",IF(K6&lt;&gt;"ja","BELEG FEHLT",IF(J6="privat","Auslage verrechnen","ok")))</f>
        <v/>
      </c>
    </row>
    <row r="7" customFormat="false" ht="15" hidden="false" customHeight="false" outlineLevel="0" collapsed="false">
      <c r="A7" s="6"/>
      <c r="B7" s="15"/>
      <c r="C7" s="6"/>
      <c r="D7" s="6"/>
      <c r="E7" s="6"/>
      <c r="F7" s="6"/>
      <c r="G7" s="16"/>
      <c r="H7" s="16"/>
      <c r="I7" s="17" t="str">
        <f aca="false">IF(G7="","",G7+H7)</f>
        <v/>
      </c>
      <c r="J7" s="6"/>
      <c r="K7" s="6"/>
      <c r="L7" s="19" t="str">
        <f aca="false">IF(A7="","",IF(K7&lt;&gt;"ja","BELEG FEHLT",IF(J7="privat","Auslage verrechnen","ok")))</f>
        <v/>
      </c>
    </row>
    <row r="8" customFormat="false" ht="15" hidden="false" customHeight="false" outlineLevel="0" collapsed="false">
      <c r="A8" s="6"/>
      <c r="B8" s="15"/>
      <c r="C8" s="6"/>
      <c r="D8" s="6"/>
      <c r="E8" s="6"/>
      <c r="F8" s="6"/>
      <c r="G8" s="16"/>
      <c r="H8" s="16"/>
      <c r="I8" s="17" t="str">
        <f aca="false">IF(G8="","",G8+H8)</f>
        <v/>
      </c>
      <c r="J8" s="6"/>
      <c r="K8" s="6"/>
      <c r="L8" s="19" t="str">
        <f aca="false">IF(A8="","",IF(K8&lt;&gt;"ja","BELEG FEHLT",IF(J8="privat","Auslage verrechnen","ok")))</f>
        <v/>
      </c>
    </row>
    <row r="9" customFormat="false" ht="15" hidden="false" customHeight="false" outlineLevel="0" collapsed="false">
      <c r="A9" s="6"/>
      <c r="B9" s="15"/>
      <c r="C9" s="6"/>
      <c r="D9" s="6"/>
      <c r="E9" s="6"/>
      <c r="F9" s="6"/>
      <c r="G9" s="16"/>
      <c r="H9" s="16"/>
      <c r="I9" s="17" t="str">
        <f aca="false">IF(G9="","",G9+H9)</f>
        <v/>
      </c>
      <c r="J9" s="6"/>
      <c r="K9" s="6"/>
      <c r="L9" s="19" t="str">
        <f aca="false">IF(A9="","",IF(K9&lt;&gt;"ja","BELEG FEHLT",IF(J9="privat","Auslage verrechnen","ok")))</f>
        <v/>
      </c>
    </row>
    <row r="10" customFormat="false" ht="15" hidden="false" customHeight="false" outlineLevel="0" collapsed="false">
      <c r="A10" s="6"/>
      <c r="B10" s="15"/>
      <c r="C10" s="6"/>
      <c r="D10" s="6"/>
      <c r="E10" s="6"/>
      <c r="F10" s="6"/>
      <c r="G10" s="16"/>
      <c r="H10" s="16"/>
      <c r="I10" s="17" t="str">
        <f aca="false">IF(G10="","",G10+H10)</f>
        <v/>
      </c>
      <c r="J10" s="6"/>
      <c r="K10" s="6"/>
      <c r="L10" s="19" t="str">
        <f aca="false">IF(A10="","",IF(K10&lt;&gt;"ja","BELEG FEHLT",IF(J10="privat","Auslage verrechnen","ok")))</f>
        <v/>
      </c>
    </row>
    <row r="11" customFormat="false" ht="15" hidden="false" customHeight="false" outlineLevel="0" collapsed="false">
      <c r="A11" s="6"/>
      <c r="B11" s="15"/>
      <c r="C11" s="6"/>
      <c r="D11" s="6"/>
      <c r="E11" s="6"/>
      <c r="F11" s="6"/>
      <c r="G11" s="16"/>
      <c r="H11" s="16"/>
      <c r="I11" s="17" t="str">
        <f aca="false">IF(G11="","",G11+H11)</f>
        <v/>
      </c>
      <c r="J11" s="6"/>
      <c r="K11" s="6"/>
      <c r="L11" s="19" t="str">
        <f aca="false">IF(A11="","",IF(K11&lt;&gt;"ja","BELEG FEHLT",IF(J11="privat","Auslage verrechnen","ok")))</f>
        <v/>
      </c>
    </row>
    <row r="12" customFormat="false" ht="15" hidden="false" customHeight="false" outlineLevel="0" collapsed="false">
      <c r="A12" s="6"/>
      <c r="B12" s="15"/>
      <c r="C12" s="6"/>
      <c r="D12" s="6"/>
      <c r="E12" s="6"/>
      <c r="F12" s="6"/>
      <c r="G12" s="16"/>
      <c r="H12" s="16"/>
      <c r="I12" s="17" t="str">
        <f aca="false">IF(G12="","",G12+H12)</f>
        <v/>
      </c>
      <c r="J12" s="6"/>
      <c r="K12" s="6"/>
      <c r="L12" s="19" t="str">
        <f aca="false">IF(A12="","",IF(K12&lt;&gt;"ja","BELEG FEHLT",IF(J12="privat","Auslage verrechnen","ok")))</f>
        <v/>
      </c>
    </row>
    <row r="13" customFormat="false" ht="15" hidden="false" customHeight="false" outlineLevel="0" collapsed="false">
      <c r="A13" s="6"/>
      <c r="B13" s="15"/>
      <c r="C13" s="6"/>
      <c r="D13" s="6"/>
      <c r="E13" s="6"/>
      <c r="F13" s="6"/>
      <c r="G13" s="16"/>
      <c r="H13" s="16"/>
      <c r="I13" s="17" t="str">
        <f aca="false">IF(G13="","",G13+H13)</f>
        <v/>
      </c>
      <c r="J13" s="6"/>
      <c r="K13" s="6"/>
      <c r="L13" s="19" t="str">
        <f aca="false">IF(A13="","",IF(K13&lt;&gt;"ja","BELEG FEHLT",IF(J13="privat","Auslage verrechnen","ok")))</f>
        <v/>
      </c>
    </row>
    <row r="14" customFormat="false" ht="15" hidden="false" customHeight="false" outlineLevel="0" collapsed="false">
      <c r="A14" s="6"/>
      <c r="B14" s="15"/>
      <c r="C14" s="6"/>
      <c r="D14" s="6"/>
      <c r="E14" s="6"/>
      <c r="F14" s="6"/>
      <c r="G14" s="16"/>
      <c r="H14" s="16"/>
      <c r="I14" s="17" t="str">
        <f aca="false">IF(G14="","",G14+H14)</f>
        <v/>
      </c>
      <c r="J14" s="6"/>
      <c r="K14" s="6"/>
      <c r="L14" s="19" t="str">
        <f aca="false">IF(A14="","",IF(K14&lt;&gt;"ja","BELEG FEHLT",IF(J14="privat","Auslage verrechnen","ok")))</f>
        <v/>
      </c>
    </row>
    <row r="15" customFormat="false" ht="15" hidden="false" customHeight="false" outlineLevel="0" collapsed="false">
      <c r="A15" s="6"/>
      <c r="B15" s="15"/>
      <c r="C15" s="6"/>
      <c r="D15" s="6"/>
      <c r="E15" s="6"/>
      <c r="F15" s="6"/>
      <c r="G15" s="16"/>
      <c r="H15" s="16"/>
      <c r="I15" s="17" t="str">
        <f aca="false">IF(G15="","",G15+H15)</f>
        <v/>
      </c>
      <c r="J15" s="6"/>
      <c r="K15" s="6"/>
      <c r="L15" s="19" t="str">
        <f aca="false">IF(A15="","",IF(K15&lt;&gt;"ja","BELEG FEHLT",IF(J15="privat","Auslage verrechnen","ok")))</f>
        <v/>
      </c>
    </row>
    <row r="16" customFormat="false" ht="15" hidden="false" customHeight="false" outlineLevel="0" collapsed="false">
      <c r="A16" s="6"/>
      <c r="B16" s="15"/>
      <c r="C16" s="6"/>
      <c r="D16" s="6"/>
      <c r="E16" s="6"/>
      <c r="F16" s="6"/>
      <c r="G16" s="16"/>
      <c r="H16" s="16"/>
      <c r="I16" s="17" t="str">
        <f aca="false">IF(G16="","",G16+H16)</f>
        <v/>
      </c>
      <c r="J16" s="6"/>
      <c r="K16" s="6"/>
      <c r="L16" s="19" t="str">
        <f aca="false">IF(A16="","",IF(K16&lt;&gt;"ja","BELEG FEHLT",IF(J16="privat","Auslage verrechnen","ok")))</f>
        <v/>
      </c>
    </row>
    <row r="17" customFormat="false" ht="15" hidden="false" customHeight="false" outlineLevel="0" collapsed="false">
      <c r="A17" s="6"/>
      <c r="B17" s="15"/>
      <c r="C17" s="6"/>
      <c r="D17" s="6"/>
      <c r="E17" s="6"/>
      <c r="F17" s="6"/>
      <c r="G17" s="16"/>
      <c r="H17" s="16"/>
      <c r="I17" s="17" t="str">
        <f aca="false">IF(G17="","",G17+H17)</f>
        <v/>
      </c>
      <c r="J17" s="6"/>
      <c r="K17" s="6"/>
      <c r="L17" s="19" t="str">
        <f aca="false">IF(A17="","",IF(K17&lt;&gt;"ja","BELEG FEHLT",IF(J17="privat","Auslage verrechnen","ok")))</f>
        <v/>
      </c>
    </row>
    <row r="18" customFormat="false" ht="15" hidden="false" customHeight="false" outlineLevel="0" collapsed="false">
      <c r="A18" s="6"/>
      <c r="B18" s="15"/>
      <c r="C18" s="6"/>
      <c r="D18" s="6"/>
      <c r="E18" s="6"/>
      <c r="F18" s="6"/>
      <c r="G18" s="16"/>
      <c r="H18" s="16"/>
      <c r="I18" s="17" t="str">
        <f aca="false">IF(G18="","",G18+H18)</f>
        <v/>
      </c>
      <c r="J18" s="6"/>
      <c r="K18" s="6"/>
      <c r="L18" s="19" t="str">
        <f aca="false">IF(A18="","",IF(K18&lt;&gt;"ja","BELEG FEHLT",IF(J18="privat","Auslage verrechnen","ok")))</f>
        <v/>
      </c>
    </row>
    <row r="19" customFormat="false" ht="15" hidden="false" customHeight="false" outlineLevel="0" collapsed="false">
      <c r="A19" s="6"/>
      <c r="B19" s="15"/>
      <c r="C19" s="6"/>
      <c r="D19" s="6"/>
      <c r="E19" s="6"/>
      <c r="F19" s="6"/>
      <c r="G19" s="16"/>
      <c r="H19" s="16"/>
      <c r="I19" s="17" t="str">
        <f aca="false">IF(G19="","",G19+H19)</f>
        <v/>
      </c>
      <c r="J19" s="6"/>
      <c r="K19" s="6"/>
      <c r="L19" s="19" t="str">
        <f aca="false">IF(A19="","",IF(K19&lt;&gt;"ja","BELEG FEHLT",IF(J19="privat","Auslage verrechnen","ok")))</f>
        <v/>
      </c>
    </row>
    <row r="20" customFormat="false" ht="15" hidden="false" customHeight="false" outlineLevel="0" collapsed="false">
      <c r="A20" s="6"/>
      <c r="B20" s="15"/>
      <c r="C20" s="6"/>
      <c r="D20" s="6"/>
      <c r="E20" s="6"/>
      <c r="F20" s="6"/>
      <c r="G20" s="16"/>
      <c r="H20" s="16"/>
      <c r="I20" s="17" t="str">
        <f aca="false">IF(G20="","",G20+H20)</f>
        <v/>
      </c>
      <c r="J20" s="6"/>
      <c r="K20" s="6"/>
      <c r="L20" s="19" t="str">
        <f aca="false">IF(A20="","",IF(K20&lt;&gt;"ja","BELEG FEHLT",IF(J20="privat","Auslage verrechnen","ok")))</f>
        <v/>
      </c>
    </row>
    <row r="21" customFormat="false" ht="15" hidden="false" customHeight="false" outlineLevel="0" collapsed="false">
      <c r="A21" s="6"/>
      <c r="B21" s="15"/>
      <c r="C21" s="6"/>
      <c r="D21" s="6"/>
      <c r="E21" s="6"/>
      <c r="F21" s="6"/>
      <c r="G21" s="16"/>
      <c r="H21" s="16"/>
      <c r="I21" s="17" t="str">
        <f aca="false">IF(G21="","",G21+H21)</f>
        <v/>
      </c>
      <c r="J21" s="6"/>
      <c r="K21" s="6"/>
      <c r="L21" s="19" t="str">
        <f aca="false">IF(A21="","",IF(K21&lt;&gt;"ja","BELEG FEHLT",IF(J21="privat","Auslage verrechnen","ok")))</f>
        <v/>
      </c>
    </row>
    <row r="22" customFormat="false" ht="15" hidden="false" customHeight="false" outlineLevel="0" collapsed="false">
      <c r="A22" s="6"/>
      <c r="B22" s="15"/>
      <c r="C22" s="6"/>
      <c r="D22" s="6"/>
      <c r="E22" s="6"/>
      <c r="F22" s="6"/>
      <c r="G22" s="16"/>
      <c r="H22" s="16"/>
      <c r="I22" s="17" t="str">
        <f aca="false">IF(G22="","",G22+H22)</f>
        <v/>
      </c>
      <c r="J22" s="6"/>
      <c r="K22" s="6"/>
      <c r="L22" s="19" t="str">
        <f aca="false">IF(A22="","",IF(K22&lt;&gt;"ja","BELEG FEHLT",IF(J22="privat","Auslage verrechnen","ok")))</f>
        <v/>
      </c>
    </row>
    <row r="23" customFormat="false" ht="15" hidden="false" customHeight="false" outlineLevel="0" collapsed="false">
      <c r="A23" s="6"/>
      <c r="B23" s="15"/>
      <c r="C23" s="6"/>
      <c r="D23" s="6"/>
      <c r="E23" s="6"/>
      <c r="F23" s="6"/>
      <c r="G23" s="16"/>
      <c r="H23" s="16"/>
      <c r="I23" s="17" t="str">
        <f aca="false">IF(G23="","",G23+H23)</f>
        <v/>
      </c>
      <c r="J23" s="6"/>
      <c r="K23" s="6"/>
      <c r="L23" s="19" t="str">
        <f aca="false">IF(A23="","",IF(K23&lt;&gt;"ja","BELEG FEHLT",IF(J23="privat","Auslage verrechnen","ok")))</f>
        <v/>
      </c>
    </row>
    <row r="24" customFormat="false" ht="15" hidden="false" customHeight="false" outlineLevel="0" collapsed="false">
      <c r="A24" s="6"/>
      <c r="B24" s="15"/>
      <c r="C24" s="6"/>
      <c r="D24" s="6"/>
      <c r="E24" s="6"/>
      <c r="F24" s="6"/>
      <c r="G24" s="16"/>
      <c r="H24" s="16"/>
      <c r="I24" s="17" t="str">
        <f aca="false">IF(G24="","",G24+H24)</f>
        <v/>
      </c>
      <c r="J24" s="6"/>
      <c r="K24" s="6"/>
      <c r="L24" s="19" t="str">
        <f aca="false">IF(A24="","",IF(K24&lt;&gt;"ja","BELEG FEHLT",IF(J24="privat","Auslage verrechnen","ok")))</f>
        <v/>
      </c>
    </row>
    <row r="25" customFormat="false" ht="15" hidden="false" customHeight="false" outlineLevel="0" collapsed="false">
      <c r="A25" s="6"/>
      <c r="B25" s="15"/>
      <c r="C25" s="6"/>
      <c r="D25" s="6"/>
      <c r="E25" s="6"/>
      <c r="F25" s="6"/>
      <c r="G25" s="16"/>
      <c r="H25" s="16"/>
      <c r="I25" s="17" t="str">
        <f aca="false">IF(G25="","",G25+H25)</f>
        <v/>
      </c>
      <c r="J25" s="6"/>
      <c r="K25" s="6"/>
      <c r="L25" s="19" t="str">
        <f aca="false">IF(A25="","",IF(K25&lt;&gt;"ja","BELEG FEHLT",IF(J25="privat","Auslage verrechnen","ok")))</f>
        <v/>
      </c>
    </row>
    <row r="26" customFormat="false" ht="15" hidden="false" customHeight="false" outlineLevel="0" collapsed="false">
      <c r="A26" s="6"/>
      <c r="B26" s="15"/>
      <c r="C26" s="6"/>
      <c r="D26" s="6"/>
      <c r="E26" s="6"/>
      <c r="F26" s="6"/>
      <c r="G26" s="16"/>
      <c r="H26" s="16"/>
      <c r="I26" s="17" t="str">
        <f aca="false">IF(G26="","",G26+H26)</f>
        <v/>
      </c>
      <c r="J26" s="6"/>
      <c r="K26" s="6"/>
      <c r="L26" s="19" t="str">
        <f aca="false">IF(A26="","",IF(K26&lt;&gt;"ja","BELEG FEHLT",IF(J26="privat","Auslage verrechnen","ok")))</f>
        <v/>
      </c>
    </row>
    <row r="27" customFormat="false" ht="15" hidden="false" customHeight="false" outlineLevel="0" collapsed="false">
      <c r="A27" s="6"/>
      <c r="B27" s="15"/>
      <c r="C27" s="6"/>
      <c r="D27" s="6"/>
      <c r="E27" s="6"/>
      <c r="F27" s="6"/>
      <c r="G27" s="16"/>
      <c r="H27" s="16"/>
      <c r="I27" s="17" t="str">
        <f aca="false">IF(G27="","",G27+H27)</f>
        <v/>
      </c>
      <c r="J27" s="6"/>
      <c r="K27" s="6"/>
      <c r="L27" s="19" t="str">
        <f aca="false">IF(A27="","",IF(K27&lt;&gt;"ja","BELEG FEHLT",IF(J27="privat","Auslage verrechnen","ok")))</f>
        <v/>
      </c>
    </row>
    <row r="28" customFormat="false" ht="15" hidden="false" customHeight="false" outlineLevel="0" collapsed="false">
      <c r="A28" s="6"/>
      <c r="B28" s="15"/>
      <c r="C28" s="6"/>
      <c r="D28" s="6"/>
      <c r="E28" s="6"/>
      <c r="F28" s="6"/>
      <c r="G28" s="16"/>
      <c r="H28" s="16"/>
      <c r="I28" s="17" t="str">
        <f aca="false">IF(G28="","",G28+H28)</f>
        <v/>
      </c>
      <c r="J28" s="6"/>
      <c r="K28" s="6"/>
      <c r="L28" s="19" t="str">
        <f aca="false">IF(A28="","",IF(K28&lt;&gt;"ja","BELEG FEHLT",IF(J28="privat","Auslage verrechnen","ok")))</f>
        <v/>
      </c>
    </row>
    <row r="29" customFormat="false" ht="15" hidden="false" customHeight="false" outlineLevel="0" collapsed="false">
      <c r="A29" s="6"/>
      <c r="B29" s="15"/>
      <c r="C29" s="6"/>
      <c r="D29" s="6"/>
      <c r="E29" s="6"/>
      <c r="F29" s="6"/>
      <c r="G29" s="16"/>
      <c r="H29" s="16"/>
      <c r="I29" s="17" t="str">
        <f aca="false">IF(G29="","",G29+H29)</f>
        <v/>
      </c>
      <c r="J29" s="6"/>
      <c r="K29" s="6"/>
      <c r="L29" s="19" t="str">
        <f aca="false">IF(A29="","",IF(K29&lt;&gt;"ja","BELEG FEHLT",IF(J29="privat","Auslage verrechnen","ok")))</f>
        <v/>
      </c>
    </row>
    <row r="30" customFormat="false" ht="15" hidden="false" customHeight="false" outlineLevel="0" collapsed="false">
      <c r="A30" s="6"/>
      <c r="B30" s="15"/>
      <c r="C30" s="6"/>
      <c r="D30" s="6"/>
      <c r="E30" s="6"/>
      <c r="F30" s="6"/>
      <c r="G30" s="16"/>
      <c r="H30" s="16"/>
      <c r="I30" s="17" t="str">
        <f aca="false">IF(G30="","",G30+H30)</f>
        <v/>
      </c>
      <c r="J30" s="6"/>
      <c r="K30" s="6"/>
      <c r="L30" s="19" t="str">
        <f aca="false">IF(A30="","",IF(K30&lt;&gt;"ja","BELEG FEHLT",IF(J30="privat","Auslage verrechnen","ok")))</f>
        <v/>
      </c>
    </row>
    <row r="31" customFormat="false" ht="15" hidden="false" customHeight="false" outlineLevel="0" collapsed="false">
      <c r="A31" s="6"/>
      <c r="B31" s="15"/>
      <c r="C31" s="6"/>
      <c r="D31" s="6"/>
      <c r="E31" s="6"/>
      <c r="F31" s="6"/>
      <c r="G31" s="16"/>
      <c r="H31" s="16"/>
      <c r="I31" s="17" t="str">
        <f aca="false">IF(G31="","",G31+H31)</f>
        <v/>
      </c>
      <c r="J31" s="6"/>
      <c r="K31" s="6"/>
      <c r="L31" s="19" t="str">
        <f aca="false">IF(A31="","",IF(K31&lt;&gt;"ja","BELEG FEHLT",IF(J31="privat","Auslage verrechnen","ok")))</f>
        <v/>
      </c>
    </row>
    <row r="32" customFormat="false" ht="15" hidden="false" customHeight="false" outlineLevel="0" collapsed="false">
      <c r="A32" s="6"/>
      <c r="B32" s="15"/>
      <c r="C32" s="6"/>
      <c r="D32" s="6"/>
      <c r="E32" s="6"/>
      <c r="F32" s="6"/>
      <c r="G32" s="16"/>
      <c r="H32" s="16"/>
      <c r="I32" s="17" t="str">
        <f aca="false">IF(G32="","",G32+H32)</f>
        <v/>
      </c>
      <c r="J32" s="6"/>
      <c r="K32" s="6"/>
      <c r="L32" s="19" t="str">
        <f aca="false">IF(A32="","",IF(K32&lt;&gt;"ja","BELEG FEHLT",IF(J32="privat","Auslage verrechnen","ok")))</f>
        <v/>
      </c>
    </row>
    <row r="33" customFormat="false" ht="15" hidden="false" customHeight="false" outlineLevel="0" collapsed="false">
      <c r="A33" s="6"/>
      <c r="B33" s="15"/>
      <c r="C33" s="6"/>
      <c r="D33" s="6"/>
      <c r="E33" s="6"/>
      <c r="F33" s="6"/>
      <c r="G33" s="16"/>
      <c r="H33" s="16"/>
      <c r="I33" s="17" t="str">
        <f aca="false">IF(G33="","",G33+H33)</f>
        <v/>
      </c>
      <c r="J33" s="6"/>
      <c r="K33" s="6"/>
      <c r="L33" s="19" t="str">
        <f aca="false">IF(A33="","",IF(K33&lt;&gt;"ja","BELEG FEHLT",IF(J33="privat","Auslage verrechnen","ok")))</f>
        <v/>
      </c>
    </row>
    <row r="34" customFormat="false" ht="15" hidden="false" customHeight="false" outlineLevel="0" collapsed="false">
      <c r="A34" s="6"/>
      <c r="B34" s="15"/>
      <c r="C34" s="6"/>
      <c r="D34" s="6"/>
      <c r="E34" s="6"/>
      <c r="F34" s="6"/>
      <c r="G34" s="16"/>
      <c r="H34" s="16"/>
      <c r="I34" s="17" t="str">
        <f aca="false">IF(G34="","",G34+H34)</f>
        <v/>
      </c>
      <c r="J34" s="6"/>
      <c r="K34" s="6"/>
      <c r="L34" s="19" t="str">
        <f aca="false">IF(A34="","",IF(K34&lt;&gt;"ja","BELEG FEHLT",IF(J34="privat","Auslage verrechnen","ok")))</f>
        <v/>
      </c>
    </row>
    <row r="35" customFormat="false" ht="15" hidden="false" customHeight="false" outlineLevel="0" collapsed="false">
      <c r="A35" s="6"/>
      <c r="B35" s="15"/>
      <c r="C35" s="6"/>
      <c r="D35" s="6"/>
      <c r="E35" s="6"/>
      <c r="F35" s="6"/>
      <c r="G35" s="16"/>
      <c r="H35" s="16"/>
      <c r="I35" s="17" t="str">
        <f aca="false">IF(G35="","",G35+H35)</f>
        <v/>
      </c>
      <c r="J35" s="6"/>
      <c r="K35" s="6"/>
      <c r="L35" s="19" t="str">
        <f aca="false">IF(A35="","",IF(K35&lt;&gt;"ja","BELEG FEHLT",IF(J35="privat","Auslage verrechnen","ok")))</f>
        <v/>
      </c>
    </row>
    <row r="36" customFormat="false" ht="15" hidden="false" customHeight="false" outlineLevel="0" collapsed="false">
      <c r="A36" s="6"/>
      <c r="B36" s="15"/>
      <c r="C36" s="6"/>
      <c r="D36" s="6"/>
      <c r="E36" s="6"/>
      <c r="F36" s="6"/>
      <c r="G36" s="16"/>
      <c r="H36" s="16"/>
      <c r="I36" s="17" t="str">
        <f aca="false">IF(G36="","",G36+H36)</f>
        <v/>
      </c>
      <c r="J36" s="6"/>
      <c r="K36" s="6"/>
      <c r="L36" s="19" t="str">
        <f aca="false">IF(A36="","",IF(K36&lt;&gt;"ja","BELEG FEHLT",IF(J36="privat","Auslage verrechnen","ok")))</f>
        <v/>
      </c>
    </row>
    <row r="37" customFormat="false" ht="15" hidden="false" customHeight="false" outlineLevel="0" collapsed="false">
      <c r="A37" s="6"/>
      <c r="B37" s="15"/>
      <c r="C37" s="6"/>
      <c r="D37" s="6"/>
      <c r="E37" s="6"/>
      <c r="F37" s="6"/>
      <c r="G37" s="16"/>
      <c r="H37" s="16"/>
      <c r="I37" s="17" t="str">
        <f aca="false">IF(G37="","",G37+H37)</f>
        <v/>
      </c>
      <c r="J37" s="6"/>
      <c r="K37" s="6"/>
      <c r="L37" s="19" t="str">
        <f aca="false">IF(A37="","",IF(K37&lt;&gt;"ja","BELEG FEHLT",IF(J37="privat","Auslage verrechnen","ok")))</f>
        <v/>
      </c>
    </row>
    <row r="38" customFormat="false" ht="15" hidden="false" customHeight="false" outlineLevel="0" collapsed="false">
      <c r="A38" s="6"/>
      <c r="B38" s="15"/>
      <c r="C38" s="6"/>
      <c r="D38" s="6"/>
      <c r="E38" s="6"/>
      <c r="F38" s="6"/>
      <c r="G38" s="16"/>
      <c r="H38" s="16"/>
      <c r="I38" s="17" t="str">
        <f aca="false">IF(G38="","",G38+H38)</f>
        <v/>
      </c>
      <c r="J38" s="6"/>
      <c r="K38" s="6"/>
      <c r="L38" s="19" t="str">
        <f aca="false">IF(A38="","",IF(K38&lt;&gt;"ja","BELEG FEHLT",IF(J38="privat","Auslage verrechnen","ok")))</f>
        <v/>
      </c>
    </row>
    <row r="39" customFormat="false" ht="15" hidden="false" customHeight="false" outlineLevel="0" collapsed="false">
      <c r="A39" s="6"/>
      <c r="B39" s="15"/>
      <c r="C39" s="6"/>
      <c r="D39" s="6"/>
      <c r="E39" s="6"/>
      <c r="F39" s="6"/>
      <c r="G39" s="16"/>
      <c r="H39" s="16"/>
      <c r="I39" s="17" t="str">
        <f aca="false">IF(G39="","",G39+H39)</f>
        <v/>
      </c>
      <c r="J39" s="6"/>
      <c r="K39" s="6"/>
      <c r="L39" s="19" t="str">
        <f aca="false">IF(A39="","",IF(K39&lt;&gt;"ja","BELEG FEHLT",IF(J39="privat","Auslage verrechnen","ok")))</f>
        <v/>
      </c>
    </row>
    <row r="40" customFormat="false" ht="15" hidden="false" customHeight="false" outlineLevel="0" collapsed="false">
      <c r="A40" s="6"/>
      <c r="B40" s="15"/>
      <c r="C40" s="6"/>
      <c r="D40" s="6"/>
      <c r="E40" s="6"/>
      <c r="F40" s="6"/>
      <c r="G40" s="16"/>
      <c r="H40" s="16"/>
      <c r="I40" s="17" t="str">
        <f aca="false">IF(G40="","",G40+H40)</f>
        <v/>
      </c>
      <c r="J40" s="6"/>
      <c r="K40" s="6"/>
      <c r="L40" s="19" t="str">
        <f aca="false">IF(A40="","",IF(K40&lt;&gt;"ja","BELEG FEHLT",IF(J40="privat","Auslage verrechnen","ok")))</f>
        <v/>
      </c>
    </row>
    <row r="41" customFormat="false" ht="15" hidden="false" customHeight="false" outlineLevel="0" collapsed="false">
      <c r="A41" s="6"/>
      <c r="B41" s="15"/>
      <c r="C41" s="6"/>
      <c r="D41" s="6"/>
      <c r="E41" s="6"/>
      <c r="F41" s="6"/>
      <c r="G41" s="16"/>
      <c r="H41" s="16"/>
      <c r="I41" s="17" t="str">
        <f aca="false">IF(G41="","",G41+H41)</f>
        <v/>
      </c>
      <c r="J41" s="6"/>
      <c r="K41" s="6"/>
      <c r="L41" s="19" t="str">
        <f aca="false">IF(A41="","",IF(K41&lt;&gt;"ja","BELEG FEHLT",IF(J41="privat","Auslage verrechnen","ok")))</f>
        <v/>
      </c>
    </row>
    <row r="42" customFormat="false" ht="15" hidden="false" customHeight="false" outlineLevel="0" collapsed="false">
      <c r="A42" s="6"/>
      <c r="B42" s="15"/>
      <c r="C42" s="6"/>
      <c r="D42" s="6"/>
      <c r="E42" s="6"/>
      <c r="F42" s="6"/>
      <c r="G42" s="16"/>
      <c r="H42" s="16"/>
      <c r="I42" s="17" t="str">
        <f aca="false">IF(G42="","",G42+H42)</f>
        <v/>
      </c>
      <c r="J42" s="6"/>
      <c r="K42" s="6"/>
      <c r="L42" s="19" t="str">
        <f aca="false">IF(A42="","",IF(K42&lt;&gt;"ja","BELEG FEHLT",IF(J42="privat","Auslage verrechnen","ok")))</f>
        <v/>
      </c>
    </row>
    <row r="43" customFormat="false" ht="15" hidden="false" customHeight="false" outlineLevel="0" collapsed="false">
      <c r="A43" s="6"/>
      <c r="B43" s="15"/>
      <c r="C43" s="6"/>
      <c r="D43" s="6"/>
      <c r="E43" s="6"/>
      <c r="F43" s="6"/>
      <c r="G43" s="16"/>
      <c r="H43" s="16"/>
      <c r="I43" s="17" t="str">
        <f aca="false">IF(G43="","",G43+H43)</f>
        <v/>
      </c>
      <c r="J43" s="6"/>
      <c r="K43" s="6"/>
      <c r="L43" s="19" t="str">
        <f aca="false">IF(A43="","",IF(K43&lt;&gt;"ja","BELEG FEHLT",IF(J43="privat","Auslage verrechnen","ok")))</f>
        <v/>
      </c>
    </row>
    <row r="44" customFormat="false" ht="15" hidden="false" customHeight="false" outlineLevel="0" collapsed="false">
      <c r="A44" s="6"/>
      <c r="B44" s="15"/>
      <c r="C44" s="6"/>
      <c r="D44" s="6"/>
      <c r="E44" s="6"/>
      <c r="F44" s="6"/>
      <c r="G44" s="16"/>
      <c r="H44" s="16"/>
      <c r="I44" s="17" t="str">
        <f aca="false">IF(G44="","",G44+H44)</f>
        <v/>
      </c>
      <c r="J44" s="6"/>
      <c r="K44" s="6"/>
      <c r="L44" s="19" t="str">
        <f aca="false">IF(A44="","",IF(K44&lt;&gt;"ja","BELEG FEHLT",IF(J44="privat","Auslage verrechnen","ok")))</f>
        <v/>
      </c>
    </row>
    <row r="45" customFormat="false" ht="15" hidden="false" customHeight="false" outlineLevel="0" collapsed="false">
      <c r="A45" s="6"/>
      <c r="B45" s="15"/>
      <c r="C45" s="6"/>
      <c r="D45" s="6"/>
      <c r="E45" s="6"/>
      <c r="F45" s="6"/>
      <c r="G45" s="16"/>
      <c r="H45" s="16"/>
      <c r="I45" s="17" t="str">
        <f aca="false">IF(G45="","",G45+H45)</f>
        <v/>
      </c>
      <c r="J45" s="6"/>
      <c r="K45" s="6"/>
      <c r="L45" s="19" t="str">
        <f aca="false">IF(A45="","",IF(K45&lt;&gt;"ja","BELEG FEHLT",IF(J45="privat","Auslage verrechnen","ok")))</f>
        <v/>
      </c>
    </row>
    <row r="46" customFormat="false" ht="15" hidden="false" customHeight="false" outlineLevel="0" collapsed="false">
      <c r="A46" s="6"/>
      <c r="B46" s="15"/>
      <c r="C46" s="6"/>
      <c r="D46" s="6"/>
      <c r="E46" s="6"/>
      <c r="F46" s="6"/>
      <c r="G46" s="16"/>
      <c r="H46" s="16"/>
      <c r="I46" s="17" t="str">
        <f aca="false">IF(G46="","",G46+H46)</f>
        <v/>
      </c>
      <c r="J46" s="6"/>
      <c r="K46" s="6"/>
      <c r="L46" s="19" t="str">
        <f aca="false">IF(A46="","",IF(K46&lt;&gt;"ja","BELEG FEHLT",IF(J46="privat","Auslage verrechnen","ok")))</f>
        <v/>
      </c>
    </row>
    <row r="47" customFormat="false" ht="15" hidden="false" customHeight="false" outlineLevel="0" collapsed="false">
      <c r="A47" s="6"/>
      <c r="B47" s="15"/>
      <c r="C47" s="6"/>
      <c r="D47" s="6"/>
      <c r="E47" s="6"/>
      <c r="F47" s="6"/>
      <c r="G47" s="16"/>
      <c r="H47" s="16"/>
      <c r="I47" s="17" t="str">
        <f aca="false">IF(G47="","",G47+H47)</f>
        <v/>
      </c>
      <c r="J47" s="6"/>
      <c r="K47" s="6"/>
      <c r="L47" s="19" t="str">
        <f aca="false">IF(A47="","",IF(K47&lt;&gt;"ja","BELEG FEHLT",IF(J47="privat","Auslage verrechnen","ok")))</f>
        <v/>
      </c>
    </row>
    <row r="48" customFormat="false" ht="15" hidden="false" customHeight="false" outlineLevel="0" collapsed="false">
      <c r="A48" s="6"/>
      <c r="B48" s="15"/>
      <c r="C48" s="6"/>
      <c r="D48" s="6"/>
      <c r="E48" s="6"/>
      <c r="F48" s="6"/>
      <c r="G48" s="16"/>
      <c r="H48" s="16"/>
      <c r="I48" s="17" t="str">
        <f aca="false">IF(G48="","",G48+H48)</f>
        <v/>
      </c>
      <c r="J48" s="6"/>
      <c r="K48" s="6"/>
      <c r="L48" s="19" t="str">
        <f aca="false">IF(A48="","",IF(K48&lt;&gt;"ja","BELEG FEHLT",IF(J48="privat","Auslage verrechnen","ok")))</f>
        <v/>
      </c>
    </row>
    <row r="49" customFormat="false" ht="15" hidden="false" customHeight="false" outlineLevel="0" collapsed="false">
      <c r="A49" s="6"/>
      <c r="B49" s="15"/>
      <c r="C49" s="6"/>
      <c r="D49" s="6"/>
      <c r="E49" s="6"/>
      <c r="F49" s="6"/>
      <c r="G49" s="16"/>
      <c r="H49" s="16"/>
      <c r="I49" s="17" t="str">
        <f aca="false">IF(G49="","",G49+H49)</f>
        <v/>
      </c>
      <c r="J49" s="6"/>
      <c r="K49" s="6"/>
      <c r="L49" s="19" t="str">
        <f aca="false">IF(A49="","",IF(K49&lt;&gt;"ja","BELEG FEHLT",IF(J49="privat","Auslage verrechnen","ok")))</f>
        <v/>
      </c>
    </row>
    <row r="50" customFormat="false" ht="15" hidden="false" customHeight="false" outlineLevel="0" collapsed="false">
      <c r="A50" s="6"/>
      <c r="B50" s="15"/>
      <c r="C50" s="6"/>
      <c r="D50" s="6"/>
      <c r="E50" s="6"/>
      <c r="F50" s="6"/>
      <c r="G50" s="16"/>
      <c r="H50" s="16"/>
      <c r="I50" s="17" t="str">
        <f aca="false">IF(G50="","",G50+H50)</f>
        <v/>
      </c>
      <c r="J50" s="6"/>
      <c r="K50" s="6"/>
      <c r="L50" s="19" t="str">
        <f aca="false">IF(A50="","",IF(K50&lt;&gt;"ja","BELEG FEHLT",IF(J50="privat","Auslage verrechnen","ok")))</f>
        <v/>
      </c>
    </row>
    <row r="51" customFormat="false" ht="15" hidden="false" customHeight="false" outlineLevel="0" collapsed="false">
      <c r="A51" s="6"/>
      <c r="B51" s="15"/>
      <c r="C51" s="6"/>
      <c r="D51" s="6"/>
      <c r="E51" s="6"/>
      <c r="F51" s="6"/>
      <c r="G51" s="16"/>
      <c r="H51" s="16"/>
      <c r="I51" s="17" t="str">
        <f aca="false">IF(G51="","",G51+H51)</f>
        <v/>
      </c>
      <c r="J51" s="6"/>
      <c r="K51" s="6"/>
      <c r="L51" s="19" t="str">
        <f aca="false">IF(A51="","",IF(K51&lt;&gt;"ja","BELEG FEHLT",IF(J51="privat","Auslage verrechnen","ok")))</f>
        <v/>
      </c>
    </row>
    <row r="52" customFormat="false" ht="15" hidden="false" customHeight="false" outlineLevel="0" collapsed="false">
      <c r="A52" s="6"/>
      <c r="B52" s="15"/>
      <c r="C52" s="6"/>
      <c r="D52" s="6"/>
      <c r="E52" s="6"/>
      <c r="F52" s="6"/>
      <c r="G52" s="16"/>
      <c r="H52" s="16"/>
      <c r="I52" s="17" t="str">
        <f aca="false">IF(G52="","",G52+H52)</f>
        <v/>
      </c>
      <c r="J52" s="6"/>
      <c r="K52" s="6"/>
      <c r="L52" s="19" t="str">
        <f aca="false">IF(A52="","",IF(K52&lt;&gt;"ja","BELEG FEHLT",IF(J52="privat","Auslage verrechnen","ok")))</f>
        <v/>
      </c>
    </row>
    <row r="53" customFormat="false" ht="15" hidden="false" customHeight="false" outlineLevel="0" collapsed="false">
      <c r="A53" s="6"/>
      <c r="B53" s="15"/>
      <c r="C53" s="6"/>
      <c r="D53" s="6"/>
      <c r="E53" s="6"/>
      <c r="F53" s="6"/>
      <c r="G53" s="16"/>
      <c r="H53" s="16"/>
      <c r="I53" s="17" t="str">
        <f aca="false">IF(G53="","",G53+H53)</f>
        <v/>
      </c>
      <c r="J53" s="6"/>
      <c r="K53" s="6"/>
      <c r="L53" s="19" t="str">
        <f aca="false">IF(A53="","",IF(K53&lt;&gt;"ja","BELEG FEHLT",IF(J53="privat","Auslage verrechnen","ok")))</f>
        <v/>
      </c>
    </row>
    <row r="54" customFormat="false" ht="15" hidden="false" customHeight="false" outlineLevel="0" collapsed="false">
      <c r="A54" s="6"/>
      <c r="B54" s="15"/>
      <c r="C54" s="6"/>
      <c r="D54" s="6"/>
      <c r="E54" s="6"/>
      <c r="F54" s="6"/>
      <c r="G54" s="16"/>
      <c r="H54" s="16"/>
      <c r="I54" s="17" t="str">
        <f aca="false">IF(G54="","",G54+H54)</f>
        <v/>
      </c>
      <c r="J54" s="6"/>
      <c r="K54" s="6"/>
      <c r="L54" s="19" t="str">
        <f aca="false">IF(A54="","",IF(K54&lt;&gt;"ja","BELEG FEHLT",IF(J54="privat","Auslage verrechnen","ok")))</f>
        <v/>
      </c>
    </row>
    <row r="55" customFormat="false" ht="15" hidden="false" customHeight="false" outlineLevel="0" collapsed="false">
      <c r="A55" s="6"/>
      <c r="B55" s="15"/>
      <c r="C55" s="6"/>
      <c r="D55" s="6"/>
      <c r="E55" s="6"/>
      <c r="F55" s="6"/>
      <c r="G55" s="16"/>
      <c r="H55" s="16"/>
      <c r="I55" s="17" t="str">
        <f aca="false">IF(G55="","",G55+H55)</f>
        <v/>
      </c>
      <c r="J55" s="6"/>
      <c r="K55" s="6"/>
      <c r="L55" s="19" t="str">
        <f aca="false">IF(A55="","",IF(K55&lt;&gt;"ja","BELEG FEHLT",IF(J55="privat","Auslage verrechnen","ok")))</f>
        <v/>
      </c>
    </row>
    <row r="56" customFormat="false" ht="15" hidden="false" customHeight="false" outlineLevel="0" collapsed="false">
      <c r="A56" s="6"/>
      <c r="B56" s="15"/>
      <c r="C56" s="6"/>
      <c r="D56" s="6"/>
      <c r="E56" s="6"/>
      <c r="F56" s="6"/>
      <c r="G56" s="16"/>
      <c r="H56" s="16"/>
      <c r="I56" s="17" t="str">
        <f aca="false">IF(G56="","",G56+H56)</f>
        <v/>
      </c>
      <c r="J56" s="6"/>
      <c r="K56" s="6"/>
      <c r="L56" s="19" t="str">
        <f aca="false">IF(A56="","",IF(K56&lt;&gt;"ja","BELEG FEHLT",IF(J56="privat","Auslage verrechnen","ok")))</f>
        <v/>
      </c>
    </row>
    <row r="57" customFormat="false" ht="15" hidden="false" customHeight="false" outlineLevel="0" collapsed="false">
      <c r="A57" s="6"/>
      <c r="B57" s="15"/>
      <c r="C57" s="6"/>
      <c r="D57" s="6"/>
      <c r="E57" s="6"/>
      <c r="F57" s="6"/>
      <c r="G57" s="16"/>
      <c r="H57" s="16"/>
      <c r="I57" s="17" t="str">
        <f aca="false">IF(G57="","",G57+H57)</f>
        <v/>
      </c>
      <c r="J57" s="6"/>
      <c r="K57" s="6"/>
      <c r="L57" s="19" t="str">
        <f aca="false">IF(A57="","",IF(K57&lt;&gt;"ja","BELEG FEHLT",IF(J57="privat","Auslage verrechnen","ok")))</f>
        <v/>
      </c>
    </row>
    <row r="58" customFormat="false" ht="15" hidden="false" customHeight="false" outlineLevel="0" collapsed="false">
      <c r="A58" s="6"/>
      <c r="B58" s="15"/>
      <c r="C58" s="6"/>
      <c r="D58" s="6"/>
      <c r="E58" s="6"/>
      <c r="F58" s="6"/>
      <c r="G58" s="16"/>
      <c r="H58" s="16"/>
      <c r="I58" s="17" t="str">
        <f aca="false">IF(G58="","",G58+H58)</f>
        <v/>
      </c>
      <c r="J58" s="6"/>
      <c r="K58" s="6"/>
      <c r="L58" s="19" t="str">
        <f aca="false">IF(A58="","",IF(K58&lt;&gt;"ja","BELEG FEHLT",IF(J58="privat","Auslage verrechnen","ok")))</f>
        <v/>
      </c>
    </row>
    <row r="59" customFormat="false" ht="15" hidden="false" customHeight="false" outlineLevel="0" collapsed="false">
      <c r="A59" s="6"/>
      <c r="B59" s="15"/>
      <c r="C59" s="6"/>
      <c r="D59" s="6"/>
      <c r="E59" s="6"/>
      <c r="F59" s="6"/>
      <c r="G59" s="16"/>
      <c r="H59" s="16"/>
      <c r="I59" s="17" t="str">
        <f aca="false">IF(G59="","",G59+H59)</f>
        <v/>
      </c>
      <c r="J59" s="6"/>
      <c r="K59" s="6"/>
      <c r="L59" s="19" t="str">
        <f aca="false">IF(A59="","",IF(K59&lt;&gt;"ja","BELEG FEHLT",IF(J59="privat","Auslage verrechnen","ok")))</f>
        <v/>
      </c>
    </row>
    <row r="60" customFormat="false" ht="15" hidden="false" customHeight="false" outlineLevel="0" collapsed="false">
      <c r="A60" s="6"/>
      <c r="B60" s="15"/>
      <c r="C60" s="6"/>
      <c r="D60" s="6"/>
      <c r="E60" s="6"/>
      <c r="F60" s="6"/>
      <c r="G60" s="16"/>
      <c r="H60" s="16"/>
      <c r="I60" s="17" t="str">
        <f aca="false">IF(G60="","",G60+H60)</f>
        <v/>
      </c>
      <c r="J60" s="6"/>
      <c r="K60" s="6"/>
      <c r="L60" s="19" t="str">
        <f aca="false">IF(A60="","",IF(K60&lt;&gt;"ja","BELEG FEHLT",IF(J60="privat","Auslage verrechnen","ok")))</f>
        <v/>
      </c>
    </row>
    <row r="61" customFormat="false" ht="15" hidden="false" customHeight="false" outlineLevel="0" collapsed="false">
      <c r="A61" s="6"/>
      <c r="B61" s="15"/>
      <c r="C61" s="6"/>
      <c r="D61" s="6"/>
      <c r="E61" s="6"/>
      <c r="F61" s="6"/>
      <c r="G61" s="16"/>
      <c r="H61" s="16"/>
      <c r="I61" s="17" t="str">
        <f aca="false">IF(G61="","",G61+H61)</f>
        <v/>
      </c>
      <c r="J61" s="6"/>
      <c r="K61" s="6"/>
      <c r="L61" s="19" t="str">
        <f aca="false">IF(A61="","",IF(K61&lt;&gt;"ja","BELEG FEHLT",IF(J61="privat","Auslage verrechnen","ok")))</f>
        <v/>
      </c>
    </row>
    <row r="62" customFormat="false" ht="15" hidden="false" customHeight="false" outlineLevel="0" collapsed="false">
      <c r="A62" s="6"/>
      <c r="B62" s="15"/>
      <c r="C62" s="6"/>
      <c r="D62" s="6"/>
      <c r="E62" s="6"/>
      <c r="F62" s="6"/>
      <c r="G62" s="16"/>
      <c r="H62" s="16"/>
      <c r="I62" s="17" t="str">
        <f aca="false">IF(G62="","",G62+H62)</f>
        <v/>
      </c>
      <c r="J62" s="6"/>
      <c r="K62" s="6"/>
      <c r="L62" s="19" t="str">
        <f aca="false">IF(A62="","",IF(K62&lt;&gt;"ja","BELEG FEHLT",IF(J62="privat","Auslage verrechnen","ok")))</f>
        <v/>
      </c>
    </row>
    <row r="63" customFormat="false" ht="15" hidden="false" customHeight="false" outlineLevel="0" collapsed="false">
      <c r="A63" s="6"/>
      <c r="B63" s="15"/>
      <c r="C63" s="6"/>
      <c r="D63" s="6"/>
      <c r="E63" s="6"/>
      <c r="F63" s="6"/>
      <c r="G63" s="16"/>
      <c r="H63" s="16"/>
      <c r="I63" s="17" t="str">
        <f aca="false">IF(G63="","",G63+H63)</f>
        <v/>
      </c>
      <c r="J63" s="6"/>
      <c r="K63" s="6"/>
      <c r="L63" s="19" t="str">
        <f aca="false">IF(A63="","",IF(K63&lt;&gt;"ja","BELEG FEHLT",IF(J63="privat","Auslage verrechnen","ok")))</f>
        <v/>
      </c>
    </row>
    <row r="64" customFormat="false" ht="15" hidden="false" customHeight="false" outlineLevel="0" collapsed="false">
      <c r="A64" s="6"/>
      <c r="B64" s="15"/>
      <c r="C64" s="6"/>
      <c r="D64" s="6"/>
      <c r="E64" s="6"/>
      <c r="F64" s="6"/>
      <c r="G64" s="16"/>
      <c r="H64" s="16"/>
      <c r="I64" s="17" t="str">
        <f aca="false">IF(G64="","",G64+H64)</f>
        <v/>
      </c>
      <c r="J64" s="6"/>
      <c r="K64" s="6"/>
      <c r="L64" s="19" t="str">
        <f aca="false">IF(A64="","",IF(K64&lt;&gt;"ja","BELEG FEHLT",IF(J64="privat","Auslage verrechnen","ok")))</f>
        <v/>
      </c>
    </row>
    <row r="65" customFormat="false" ht="15" hidden="false" customHeight="false" outlineLevel="0" collapsed="false">
      <c r="A65" s="6"/>
      <c r="B65" s="15"/>
      <c r="C65" s="6"/>
      <c r="D65" s="6"/>
      <c r="E65" s="6"/>
      <c r="F65" s="6"/>
      <c r="G65" s="16"/>
      <c r="H65" s="16"/>
      <c r="I65" s="17" t="str">
        <f aca="false">IF(G65="","",G65+H65)</f>
        <v/>
      </c>
      <c r="J65" s="6"/>
      <c r="K65" s="6"/>
      <c r="L65" s="19" t="str">
        <f aca="false">IF(A65="","",IF(K65&lt;&gt;"ja","BELEG FEHLT",IF(J65="privat","Auslage verrechnen","ok")))</f>
        <v/>
      </c>
    </row>
    <row r="66" customFormat="false" ht="15" hidden="false" customHeight="false" outlineLevel="0" collapsed="false">
      <c r="A66" s="6"/>
      <c r="B66" s="15"/>
      <c r="C66" s="6"/>
      <c r="D66" s="6"/>
      <c r="E66" s="6"/>
      <c r="F66" s="6"/>
      <c r="G66" s="16"/>
      <c r="H66" s="16"/>
      <c r="I66" s="17" t="str">
        <f aca="false">IF(G66="","",G66+H66)</f>
        <v/>
      </c>
      <c r="J66" s="6"/>
      <c r="K66" s="6"/>
      <c r="L66" s="19" t="str">
        <f aca="false">IF(A66="","",IF(K66&lt;&gt;"ja","BELEG FEHLT",IF(J66="privat","Auslage verrechnen","ok")))</f>
        <v/>
      </c>
    </row>
    <row r="67" customFormat="false" ht="15" hidden="false" customHeight="false" outlineLevel="0" collapsed="false">
      <c r="A67" s="6"/>
      <c r="B67" s="15"/>
      <c r="C67" s="6"/>
      <c r="D67" s="6"/>
      <c r="E67" s="6"/>
      <c r="F67" s="6"/>
      <c r="G67" s="16"/>
      <c r="H67" s="16"/>
      <c r="I67" s="17" t="str">
        <f aca="false">IF(G67="","",G67+H67)</f>
        <v/>
      </c>
      <c r="J67" s="6"/>
      <c r="K67" s="6"/>
      <c r="L67" s="19" t="str">
        <f aca="false">IF(A67="","",IF(K67&lt;&gt;"ja","BELEG FEHLT",IF(J67="privat","Auslage verrechnen","ok")))</f>
        <v/>
      </c>
    </row>
    <row r="68" customFormat="false" ht="15" hidden="false" customHeight="false" outlineLevel="0" collapsed="false">
      <c r="A68" s="6"/>
      <c r="B68" s="15"/>
      <c r="C68" s="6"/>
      <c r="D68" s="6"/>
      <c r="E68" s="6"/>
      <c r="F68" s="6"/>
      <c r="G68" s="16"/>
      <c r="H68" s="16"/>
      <c r="I68" s="17" t="str">
        <f aca="false">IF(G68="","",G68+H68)</f>
        <v/>
      </c>
      <c r="J68" s="6"/>
      <c r="K68" s="6"/>
      <c r="L68" s="19" t="str">
        <f aca="false">IF(A68="","",IF(K68&lt;&gt;"ja","BELEG FEHLT",IF(J68="privat","Auslage verrechnen","ok")))</f>
        <v/>
      </c>
    </row>
    <row r="69" customFormat="false" ht="15" hidden="false" customHeight="false" outlineLevel="0" collapsed="false">
      <c r="A69" s="6"/>
      <c r="B69" s="15"/>
      <c r="C69" s="6"/>
      <c r="D69" s="6"/>
      <c r="E69" s="6"/>
      <c r="F69" s="6"/>
      <c r="G69" s="16"/>
      <c r="H69" s="16"/>
      <c r="I69" s="17" t="str">
        <f aca="false">IF(G69="","",G69+H69)</f>
        <v/>
      </c>
      <c r="J69" s="6"/>
      <c r="K69" s="6"/>
      <c r="L69" s="19" t="str">
        <f aca="false">IF(A69="","",IF(K69&lt;&gt;"ja","BELEG FEHLT",IF(J69="privat","Auslage verrechnen","ok")))</f>
        <v/>
      </c>
    </row>
    <row r="70" customFormat="false" ht="15" hidden="false" customHeight="false" outlineLevel="0" collapsed="false">
      <c r="A70" s="6"/>
      <c r="B70" s="15"/>
      <c r="C70" s="6"/>
      <c r="D70" s="6"/>
      <c r="E70" s="6"/>
      <c r="F70" s="6"/>
      <c r="G70" s="16"/>
      <c r="H70" s="16"/>
      <c r="I70" s="17" t="str">
        <f aca="false">IF(G70="","",G70+H70)</f>
        <v/>
      </c>
      <c r="J70" s="6"/>
      <c r="K70" s="6"/>
      <c r="L70" s="19" t="str">
        <f aca="false">IF(A70="","",IF(K70&lt;&gt;"ja","BELEG FEHLT",IF(J70="privat","Auslage verrechnen","ok")))</f>
        <v/>
      </c>
    </row>
    <row r="71" customFormat="false" ht="15" hidden="false" customHeight="false" outlineLevel="0" collapsed="false">
      <c r="A71" s="6"/>
      <c r="B71" s="15"/>
      <c r="C71" s="6"/>
      <c r="D71" s="6"/>
      <c r="E71" s="6"/>
      <c r="F71" s="6"/>
      <c r="G71" s="16"/>
      <c r="H71" s="16"/>
      <c r="I71" s="17" t="str">
        <f aca="false">IF(G71="","",G71+H71)</f>
        <v/>
      </c>
      <c r="J71" s="6"/>
      <c r="K71" s="6"/>
      <c r="L71" s="19" t="str">
        <f aca="false">IF(A71="","",IF(K71&lt;&gt;"ja","BELEG FEHLT",IF(J71="privat","Auslage verrechnen","ok")))</f>
        <v/>
      </c>
    </row>
    <row r="72" customFormat="false" ht="15" hidden="false" customHeight="false" outlineLevel="0" collapsed="false">
      <c r="A72" s="6"/>
      <c r="B72" s="15"/>
      <c r="C72" s="6"/>
      <c r="D72" s="6"/>
      <c r="E72" s="6"/>
      <c r="F72" s="6"/>
      <c r="G72" s="16"/>
      <c r="H72" s="16"/>
      <c r="I72" s="17" t="str">
        <f aca="false">IF(G72="","",G72+H72)</f>
        <v/>
      </c>
      <c r="J72" s="6"/>
      <c r="K72" s="6"/>
      <c r="L72" s="19" t="str">
        <f aca="false">IF(A72="","",IF(K72&lt;&gt;"ja","BELEG FEHLT",IF(J72="privat","Auslage verrechnen","ok")))</f>
        <v/>
      </c>
    </row>
    <row r="73" customFormat="false" ht="15" hidden="false" customHeight="false" outlineLevel="0" collapsed="false">
      <c r="A73" s="6"/>
      <c r="B73" s="15"/>
      <c r="C73" s="6"/>
      <c r="D73" s="6"/>
      <c r="E73" s="6"/>
      <c r="F73" s="6"/>
      <c r="G73" s="16"/>
      <c r="H73" s="16"/>
      <c r="I73" s="17" t="str">
        <f aca="false">IF(G73="","",G73+H73)</f>
        <v/>
      </c>
      <c r="J73" s="6"/>
      <c r="K73" s="6"/>
      <c r="L73" s="19" t="str">
        <f aca="false">IF(A73="","",IF(K73&lt;&gt;"ja","BELEG FEHLT",IF(J73="privat","Auslage verrechnen","ok")))</f>
        <v/>
      </c>
    </row>
    <row r="74" customFormat="false" ht="15" hidden="false" customHeight="false" outlineLevel="0" collapsed="false">
      <c r="A74" s="6"/>
      <c r="B74" s="15"/>
      <c r="C74" s="6"/>
      <c r="D74" s="6"/>
      <c r="E74" s="6"/>
      <c r="F74" s="6"/>
      <c r="G74" s="16"/>
      <c r="H74" s="16"/>
      <c r="I74" s="17" t="str">
        <f aca="false">IF(G74="","",G74+H74)</f>
        <v/>
      </c>
      <c r="J74" s="6"/>
      <c r="K74" s="6"/>
      <c r="L74" s="19" t="str">
        <f aca="false">IF(A74="","",IF(K74&lt;&gt;"ja","BELEG FEHLT",IF(J74="privat","Auslage verrechnen","ok")))</f>
        <v/>
      </c>
    </row>
    <row r="75" customFormat="false" ht="15" hidden="false" customHeight="false" outlineLevel="0" collapsed="false">
      <c r="A75" s="6"/>
      <c r="B75" s="15"/>
      <c r="C75" s="6"/>
      <c r="D75" s="6"/>
      <c r="E75" s="6"/>
      <c r="F75" s="6"/>
      <c r="G75" s="16"/>
      <c r="H75" s="16"/>
      <c r="I75" s="17" t="str">
        <f aca="false">IF(G75="","",G75+H75)</f>
        <v/>
      </c>
      <c r="J75" s="6"/>
      <c r="K75" s="6"/>
      <c r="L75" s="19" t="str">
        <f aca="false">IF(A75="","",IF(K75&lt;&gt;"ja","BELEG FEHLT",IF(J75="privat","Auslage verrechnen","ok")))</f>
        <v/>
      </c>
    </row>
    <row r="76" customFormat="false" ht="15" hidden="false" customHeight="false" outlineLevel="0" collapsed="false">
      <c r="A76" s="6"/>
      <c r="B76" s="15"/>
      <c r="C76" s="6"/>
      <c r="D76" s="6"/>
      <c r="E76" s="6"/>
      <c r="F76" s="6"/>
      <c r="G76" s="16"/>
      <c r="H76" s="16"/>
      <c r="I76" s="17" t="str">
        <f aca="false">IF(G76="","",G76+H76)</f>
        <v/>
      </c>
      <c r="J76" s="6"/>
      <c r="K76" s="6"/>
      <c r="L76" s="19" t="str">
        <f aca="false">IF(A76="","",IF(K76&lt;&gt;"ja","BELEG FEHLT",IF(J76="privat","Auslage verrechnen","ok")))</f>
        <v/>
      </c>
    </row>
    <row r="77" customFormat="false" ht="15" hidden="false" customHeight="false" outlineLevel="0" collapsed="false">
      <c r="A77" s="6"/>
      <c r="B77" s="15"/>
      <c r="C77" s="6"/>
      <c r="D77" s="6"/>
      <c r="E77" s="6"/>
      <c r="F77" s="6"/>
      <c r="G77" s="16"/>
      <c r="H77" s="16"/>
      <c r="I77" s="17" t="str">
        <f aca="false">IF(G77="","",G77+H77)</f>
        <v/>
      </c>
      <c r="J77" s="6"/>
      <c r="K77" s="6"/>
      <c r="L77" s="19" t="str">
        <f aca="false">IF(A77="","",IF(K77&lt;&gt;"ja","BELEG FEHLT",IF(J77="privat","Auslage verrechnen","ok")))</f>
        <v/>
      </c>
    </row>
    <row r="78" customFormat="false" ht="15" hidden="false" customHeight="false" outlineLevel="0" collapsed="false">
      <c r="A78" s="6"/>
      <c r="B78" s="15"/>
      <c r="C78" s="6"/>
      <c r="D78" s="6"/>
      <c r="E78" s="6"/>
      <c r="F78" s="6"/>
      <c r="G78" s="16"/>
      <c r="H78" s="16"/>
      <c r="I78" s="17" t="str">
        <f aca="false">IF(G78="","",G78+H78)</f>
        <v/>
      </c>
      <c r="J78" s="6"/>
      <c r="K78" s="6"/>
      <c r="L78" s="19" t="str">
        <f aca="false">IF(A78="","",IF(K78&lt;&gt;"ja","BELEG FEHLT",IF(J78="privat","Auslage verrechnen","ok")))</f>
        <v/>
      </c>
    </row>
    <row r="79" customFormat="false" ht="15" hidden="false" customHeight="false" outlineLevel="0" collapsed="false">
      <c r="A79" s="6"/>
      <c r="B79" s="15"/>
      <c r="C79" s="6"/>
      <c r="D79" s="6"/>
      <c r="E79" s="6"/>
      <c r="F79" s="6"/>
      <c r="G79" s="16"/>
      <c r="H79" s="16"/>
      <c r="I79" s="17" t="str">
        <f aca="false">IF(G79="","",G79+H79)</f>
        <v/>
      </c>
      <c r="J79" s="6"/>
      <c r="K79" s="6"/>
      <c r="L79" s="19" t="str">
        <f aca="false">IF(A79="","",IF(K79&lt;&gt;"ja","BELEG FEHLT",IF(J79="privat","Auslage verrechnen","ok")))</f>
        <v/>
      </c>
    </row>
    <row r="80" customFormat="false" ht="15" hidden="false" customHeight="false" outlineLevel="0" collapsed="false">
      <c r="A80" s="6"/>
      <c r="B80" s="15"/>
      <c r="C80" s="6"/>
      <c r="D80" s="6"/>
      <c r="E80" s="6"/>
      <c r="F80" s="6"/>
      <c r="G80" s="16"/>
      <c r="H80" s="16"/>
      <c r="I80" s="17" t="str">
        <f aca="false">IF(G80="","",G80+H80)</f>
        <v/>
      </c>
      <c r="J80" s="6"/>
      <c r="K80" s="6"/>
      <c r="L80" s="19" t="str">
        <f aca="false">IF(A80="","",IF(K80&lt;&gt;"ja","BELEG FEHLT",IF(J80="privat","Auslage verrechnen","ok")))</f>
        <v/>
      </c>
    </row>
    <row r="81" customFormat="false" ht="15" hidden="false" customHeight="false" outlineLevel="0" collapsed="false">
      <c r="A81" s="6"/>
      <c r="B81" s="15"/>
      <c r="C81" s="6"/>
      <c r="D81" s="6"/>
      <c r="E81" s="6"/>
      <c r="F81" s="6"/>
      <c r="G81" s="16"/>
      <c r="H81" s="16"/>
      <c r="I81" s="17" t="str">
        <f aca="false">IF(G81="","",G81+H81)</f>
        <v/>
      </c>
      <c r="J81" s="6"/>
      <c r="K81" s="6"/>
      <c r="L81" s="19" t="str">
        <f aca="false">IF(A81="","",IF(K81&lt;&gt;"ja","BELEG FEHLT",IF(J81="privat","Auslage verrechnen","ok")))</f>
        <v/>
      </c>
    </row>
    <row r="82" customFormat="false" ht="15" hidden="false" customHeight="false" outlineLevel="0" collapsed="false">
      <c r="A82" s="6"/>
      <c r="B82" s="15"/>
      <c r="C82" s="6"/>
      <c r="D82" s="6"/>
      <c r="E82" s="6"/>
      <c r="F82" s="6"/>
      <c r="G82" s="16"/>
      <c r="H82" s="16"/>
      <c r="I82" s="17" t="str">
        <f aca="false">IF(G82="","",G82+H82)</f>
        <v/>
      </c>
      <c r="J82" s="6"/>
      <c r="K82" s="6"/>
      <c r="L82" s="19" t="str">
        <f aca="false">IF(A82="","",IF(K82&lt;&gt;"ja","BELEG FEHLT",IF(J82="privat","Auslage verrechnen","ok")))</f>
        <v/>
      </c>
    </row>
    <row r="83" customFormat="false" ht="15" hidden="false" customHeight="false" outlineLevel="0" collapsed="false">
      <c r="A83" s="6"/>
      <c r="B83" s="15"/>
      <c r="C83" s="6"/>
      <c r="D83" s="6"/>
      <c r="E83" s="6"/>
      <c r="F83" s="6"/>
      <c r="G83" s="16"/>
      <c r="H83" s="16"/>
      <c r="I83" s="17" t="str">
        <f aca="false">IF(G83="","",G83+H83)</f>
        <v/>
      </c>
      <c r="J83" s="6"/>
      <c r="K83" s="6"/>
      <c r="L83" s="19" t="str">
        <f aca="false">IF(A83="","",IF(K83&lt;&gt;"ja","BELEG FEHLT",IF(J83="privat","Auslage verrechnen","ok")))</f>
        <v/>
      </c>
    </row>
    <row r="84" customFormat="false" ht="15" hidden="false" customHeight="false" outlineLevel="0" collapsed="false">
      <c r="A84" s="6"/>
      <c r="B84" s="15"/>
      <c r="C84" s="6"/>
      <c r="D84" s="6"/>
      <c r="E84" s="6"/>
      <c r="F84" s="6"/>
      <c r="G84" s="16"/>
      <c r="H84" s="16"/>
      <c r="I84" s="17" t="str">
        <f aca="false">IF(G84="","",G84+H84)</f>
        <v/>
      </c>
      <c r="J84" s="6"/>
      <c r="K84" s="6"/>
      <c r="L84" s="19" t="str">
        <f aca="false">IF(A84="","",IF(K84&lt;&gt;"ja","BELEG FEHLT",IF(J84="privat","Auslage verrechnen","ok")))</f>
        <v/>
      </c>
    </row>
    <row r="85" customFormat="false" ht="15" hidden="false" customHeight="false" outlineLevel="0" collapsed="false">
      <c r="A85" s="6"/>
      <c r="B85" s="15"/>
      <c r="C85" s="6"/>
      <c r="D85" s="6"/>
      <c r="E85" s="6"/>
      <c r="F85" s="6"/>
      <c r="G85" s="16"/>
      <c r="H85" s="16"/>
      <c r="I85" s="17" t="str">
        <f aca="false">IF(G85="","",G85+H85)</f>
        <v/>
      </c>
      <c r="J85" s="6"/>
      <c r="K85" s="6"/>
      <c r="L85" s="19" t="str">
        <f aca="false">IF(A85="","",IF(K85&lt;&gt;"ja","BELEG FEHLT",IF(J85="privat","Auslage verrechnen","ok")))</f>
        <v/>
      </c>
    </row>
    <row r="86" customFormat="false" ht="15" hidden="false" customHeight="false" outlineLevel="0" collapsed="false">
      <c r="A86" s="6"/>
      <c r="B86" s="15"/>
      <c r="C86" s="6"/>
      <c r="D86" s="6"/>
      <c r="E86" s="6"/>
      <c r="F86" s="6"/>
      <c r="G86" s="16"/>
      <c r="H86" s="16"/>
      <c r="I86" s="17" t="str">
        <f aca="false">IF(G86="","",G86+H86)</f>
        <v/>
      </c>
      <c r="J86" s="6"/>
      <c r="K86" s="6"/>
      <c r="L86" s="19" t="str">
        <f aca="false">IF(A86="","",IF(K86&lt;&gt;"ja","BELEG FEHLT",IF(J86="privat","Auslage verrechnen","ok")))</f>
        <v/>
      </c>
    </row>
    <row r="87" customFormat="false" ht="15" hidden="false" customHeight="false" outlineLevel="0" collapsed="false">
      <c r="A87" s="6"/>
      <c r="B87" s="15"/>
      <c r="C87" s="6"/>
      <c r="D87" s="6"/>
      <c r="E87" s="6"/>
      <c r="F87" s="6"/>
      <c r="G87" s="16"/>
      <c r="H87" s="16"/>
      <c r="I87" s="17" t="str">
        <f aca="false">IF(G87="","",G87+H87)</f>
        <v/>
      </c>
      <c r="J87" s="6"/>
      <c r="K87" s="6"/>
      <c r="L87" s="19" t="str">
        <f aca="false">IF(A87="","",IF(K87&lt;&gt;"ja","BELEG FEHLT",IF(J87="privat","Auslage verrechnen","ok")))</f>
        <v/>
      </c>
    </row>
    <row r="88" customFormat="false" ht="15" hidden="false" customHeight="false" outlineLevel="0" collapsed="false">
      <c r="A88" s="6"/>
      <c r="B88" s="15"/>
      <c r="C88" s="6"/>
      <c r="D88" s="6"/>
      <c r="E88" s="6"/>
      <c r="F88" s="6"/>
      <c r="G88" s="16"/>
      <c r="H88" s="16"/>
      <c r="I88" s="17" t="str">
        <f aca="false">IF(G88="","",G88+H88)</f>
        <v/>
      </c>
      <c r="J88" s="6"/>
      <c r="K88" s="6"/>
      <c r="L88" s="19" t="str">
        <f aca="false">IF(A88="","",IF(K88&lt;&gt;"ja","BELEG FEHLT",IF(J88="privat","Auslage verrechnen","ok")))</f>
        <v/>
      </c>
    </row>
    <row r="89" customFormat="false" ht="15" hidden="false" customHeight="false" outlineLevel="0" collapsed="false">
      <c r="A89" s="6"/>
      <c r="B89" s="15"/>
      <c r="C89" s="6"/>
      <c r="D89" s="6"/>
      <c r="E89" s="6"/>
      <c r="F89" s="6"/>
      <c r="G89" s="16"/>
      <c r="H89" s="16"/>
      <c r="I89" s="17" t="str">
        <f aca="false">IF(G89="","",G89+H89)</f>
        <v/>
      </c>
      <c r="J89" s="6"/>
      <c r="K89" s="6"/>
      <c r="L89" s="19" t="str">
        <f aca="false">IF(A89="","",IF(K89&lt;&gt;"ja","BELEG FEHLT",IF(J89="privat","Auslage verrechnen","ok")))</f>
        <v/>
      </c>
    </row>
    <row r="90" customFormat="false" ht="15" hidden="false" customHeight="false" outlineLevel="0" collapsed="false">
      <c r="A90" s="6"/>
      <c r="B90" s="15"/>
      <c r="C90" s="6"/>
      <c r="D90" s="6"/>
      <c r="E90" s="6"/>
      <c r="F90" s="6"/>
      <c r="G90" s="16"/>
      <c r="H90" s="16"/>
      <c r="I90" s="17" t="str">
        <f aca="false">IF(G90="","",G90+H90)</f>
        <v/>
      </c>
      <c r="J90" s="6"/>
      <c r="K90" s="6"/>
      <c r="L90" s="19" t="str">
        <f aca="false">IF(A90="","",IF(K90&lt;&gt;"ja","BELEG FEHLT",IF(J90="privat","Auslage verrechnen","ok")))</f>
        <v/>
      </c>
    </row>
    <row r="91" customFormat="false" ht="15" hidden="false" customHeight="false" outlineLevel="0" collapsed="false">
      <c r="A91" s="6"/>
      <c r="B91" s="15"/>
      <c r="C91" s="6"/>
      <c r="D91" s="6"/>
      <c r="E91" s="6"/>
      <c r="F91" s="6"/>
      <c r="G91" s="16"/>
      <c r="H91" s="16"/>
      <c r="I91" s="17" t="str">
        <f aca="false">IF(G91="","",G91+H91)</f>
        <v/>
      </c>
      <c r="J91" s="6"/>
      <c r="K91" s="6"/>
      <c r="L91" s="19" t="str">
        <f aca="false">IF(A91="","",IF(K91&lt;&gt;"ja","BELEG FEHLT",IF(J91="privat","Auslage verrechnen","ok")))</f>
        <v/>
      </c>
    </row>
    <row r="92" customFormat="false" ht="15" hidden="false" customHeight="false" outlineLevel="0" collapsed="false">
      <c r="A92" s="6"/>
      <c r="B92" s="15"/>
      <c r="C92" s="6"/>
      <c r="D92" s="6"/>
      <c r="E92" s="6"/>
      <c r="F92" s="6"/>
      <c r="G92" s="16"/>
      <c r="H92" s="16"/>
      <c r="I92" s="17" t="str">
        <f aca="false">IF(G92="","",G92+H92)</f>
        <v/>
      </c>
      <c r="J92" s="6"/>
      <c r="K92" s="6"/>
      <c r="L92" s="19" t="str">
        <f aca="false">IF(A92="","",IF(K92&lt;&gt;"ja","BELEG FEHLT",IF(J92="privat","Auslage verrechnen","ok")))</f>
        <v/>
      </c>
    </row>
    <row r="93" customFormat="false" ht="15" hidden="false" customHeight="false" outlineLevel="0" collapsed="false">
      <c r="A93" s="6"/>
      <c r="B93" s="15"/>
      <c r="C93" s="6"/>
      <c r="D93" s="6"/>
      <c r="E93" s="6"/>
      <c r="F93" s="6"/>
      <c r="G93" s="16"/>
      <c r="H93" s="16"/>
      <c r="I93" s="17" t="str">
        <f aca="false">IF(G93="","",G93+H93)</f>
        <v/>
      </c>
      <c r="J93" s="6"/>
      <c r="K93" s="6"/>
      <c r="L93" s="19" t="str">
        <f aca="false">IF(A93="","",IF(K93&lt;&gt;"ja","BELEG FEHLT",IF(J93="privat","Auslage verrechnen","ok")))</f>
        <v/>
      </c>
    </row>
    <row r="94" customFormat="false" ht="15" hidden="false" customHeight="false" outlineLevel="0" collapsed="false">
      <c r="A94" s="6"/>
      <c r="B94" s="15"/>
      <c r="C94" s="6"/>
      <c r="D94" s="6"/>
      <c r="E94" s="6"/>
      <c r="F94" s="6"/>
      <c r="G94" s="16"/>
      <c r="H94" s="16"/>
      <c r="I94" s="17" t="str">
        <f aca="false">IF(G94="","",G94+H94)</f>
        <v/>
      </c>
      <c r="J94" s="6"/>
      <c r="K94" s="6"/>
      <c r="L94" s="19" t="str">
        <f aca="false">IF(A94="","",IF(K94&lt;&gt;"ja","BELEG FEHLT",IF(J94="privat","Auslage verrechnen","ok")))</f>
        <v/>
      </c>
    </row>
    <row r="95" customFormat="false" ht="15" hidden="false" customHeight="false" outlineLevel="0" collapsed="false">
      <c r="A95" s="6"/>
      <c r="B95" s="15"/>
      <c r="C95" s="6"/>
      <c r="D95" s="6"/>
      <c r="E95" s="6"/>
      <c r="F95" s="6"/>
      <c r="G95" s="16"/>
      <c r="H95" s="16"/>
      <c r="I95" s="17" t="str">
        <f aca="false">IF(G95="","",G95+H95)</f>
        <v/>
      </c>
      <c r="J95" s="6"/>
      <c r="K95" s="6"/>
      <c r="L95" s="19" t="str">
        <f aca="false">IF(A95="","",IF(K95&lt;&gt;"ja","BELEG FEHLT",IF(J95="privat","Auslage verrechnen","ok")))</f>
        <v/>
      </c>
    </row>
    <row r="96" customFormat="false" ht="15" hidden="false" customHeight="false" outlineLevel="0" collapsed="false">
      <c r="A96" s="6"/>
      <c r="B96" s="15"/>
      <c r="C96" s="6"/>
      <c r="D96" s="6"/>
      <c r="E96" s="6"/>
      <c r="F96" s="6"/>
      <c r="G96" s="16"/>
      <c r="H96" s="16"/>
      <c r="I96" s="17" t="str">
        <f aca="false">IF(G96="","",G96+H96)</f>
        <v/>
      </c>
      <c r="J96" s="6"/>
      <c r="K96" s="6"/>
      <c r="L96" s="19" t="str">
        <f aca="false">IF(A96="","",IF(K96&lt;&gt;"ja","BELEG FEHLT",IF(J96="privat","Auslage verrechnen","ok")))</f>
        <v/>
      </c>
    </row>
    <row r="97" customFormat="false" ht="15" hidden="false" customHeight="false" outlineLevel="0" collapsed="false">
      <c r="A97" s="6"/>
      <c r="B97" s="15"/>
      <c r="C97" s="6"/>
      <c r="D97" s="6"/>
      <c r="E97" s="6"/>
      <c r="F97" s="6"/>
      <c r="G97" s="16"/>
      <c r="H97" s="16"/>
      <c r="I97" s="17" t="str">
        <f aca="false">IF(G97="","",G97+H97)</f>
        <v/>
      </c>
      <c r="J97" s="6"/>
      <c r="K97" s="6"/>
      <c r="L97" s="19" t="str">
        <f aca="false">IF(A97="","",IF(K97&lt;&gt;"ja","BELEG FEHLT",IF(J97="privat","Auslage verrechnen","ok")))</f>
        <v/>
      </c>
    </row>
    <row r="98" customFormat="false" ht="15" hidden="false" customHeight="false" outlineLevel="0" collapsed="false">
      <c r="A98" s="6"/>
      <c r="B98" s="15"/>
      <c r="C98" s="6"/>
      <c r="D98" s="6"/>
      <c r="E98" s="6"/>
      <c r="F98" s="6"/>
      <c r="G98" s="16"/>
      <c r="H98" s="16"/>
      <c r="I98" s="17" t="str">
        <f aca="false">IF(G98="","",G98+H98)</f>
        <v/>
      </c>
      <c r="J98" s="6"/>
      <c r="K98" s="6"/>
      <c r="L98" s="19" t="str">
        <f aca="false">IF(A98="","",IF(K98&lt;&gt;"ja","BELEG FEHLT",IF(J98="privat","Auslage verrechnen","ok")))</f>
        <v/>
      </c>
    </row>
    <row r="99" customFormat="false" ht="15" hidden="false" customHeight="false" outlineLevel="0" collapsed="false">
      <c r="A99" s="6"/>
      <c r="B99" s="15"/>
      <c r="C99" s="6"/>
      <c r="D99" s="6"/>
      <c r="E99" s="6"/>
      <c r="F99" s="6"/>
      <c r="G99" s="16"/>
      <c r="H99" s="16"/>
      <c r="I99" s="17" t="str">
        <f aca="false">IF(G99="","",G99+H99)</f>
        <v/>
      </c>
      <c r="J99" s="6"/>
      <c r="K99" s="6"/>
      <c r="L99" s="19" t="str">
        <f aca="false">IF(A99="","",IF(K99&lt;&gt;"ja","BELEG FEHLT",IF(J99="privat","Auslage verrechnen","ok")))</f>
        <v/>
      </c>
    </row>
    <row r="100" customFormat="false" ht="15" hidden="false" customHeight="false" outlineLevel="0" collapsed="false">
      <c r="A100" s="6"/>
      <c r="B100" s="15"/>
      <c r="C100" s="6"/>
      <c r="D100" s="6"/>
      <c r="E100" s="6"/>
      <c r="F100" s="6"/>
      <c r="G100" s="16"/>
      <c r="H100" s="16"/>
      <c r="I100" s="17" t="str">
        <f aca="false">IF(G100="","",G100+H100)</f>
        <v/>
      </c>
      <c r="J100" s="6"/>
      <c r="K100" s="6"/>
      <c r="L100" s="19" t="str">
        <f aca="false">IF(A100="","",IF(K100&lt;&gt;"ja","BELEG FEHLT",IF(J100="privat","Auslage verrechnen","ok")))</f>
        <v/>
      </c>
    </row>
    <row r="101" customFormat="false" ht="15" hidden="false" customHeight="false" outlineLevel="0" collapsed="false">
      <c r="A101" s="6"/>
      <c r="B101" s="15"/>
      <c r="C101" s="6"/>
      <c r="D101" s="6"/>
      <c r="E101" s="6"/>
      <c r="F101" s="6"/>
      <c r="G101" s="16"/>
      <c r="H101" s="16"/>
      <c r="I101" s="17" t="str">
        <f aca="false">IF(G101="","",G101+H101)</f>
        <v/>
      </c>
      <c r="J101" s="6"/>
      <c r="K101" s="6"/>
      <c r="L101" s="19" t="str">
        <f aca="false">IF(A101="","",IF(K101&lt;&gt;"ja","BELEG FEHLT",IF(J101="privat","Auslage verrechnen","ok")))</f>
        <v/>
      </c>
    </row>
    <row r="102" customFormat="false" ht="15" hidden="false" customHeight="false" outlineLevel="0" collapsed="false">
      <c r="A102" s="6"/>
      <c r="B102" s="15"/>
      <c r="C102" s="6"/>
      <c r="D102" s="6"/>
      <c r="E102" s="6"/>
      <c r="F102" s="6"/>
      <c r="G102" s="16"/>
      <c r="H102" s="16"/>
      <c r="I102" s="17" t="str">
        <f aca="false">IF(G102="","",G102+H102)</f>
        <v/>
      </c>
      <c r="J102" s="6"/>
      <c r="K102" s="6"/>
      <c r="L102" s="19" t="str">
        <f aca="false">IF(A102="","",IF(K102&lt;&gt;"ja","BELEG FEHLT",IF(J102="privat","Auslage verrechnen","ok")))</f>
        <v/>
      </c>
    </row>
    <row r="103" customFormat="false" ht="15" hidden="false" customHeight="false" outlineLevel="0" collapsed="false">
      <c r="A103" s="6"/>
      <c r="B103" s="15"/>
      <c r="C103" s="6"/>
      <c r="D103" s="6"/>
      <c r="E103" s="6"/>
      <c r="F103" s="6"/>
      <c r="G103" s="16"/>
      <c r="H103" s="16"/>
      <c r="I103" s="17" t="str">
        <f aca="false">IF(G103="","",G103+H103)</f>
        <v/>
      </c>
      <c r="J103" s="6"/>
      <c r="K103" s="6"/>
      <c r="L103" s="19" t="str">
        <f aca="false">IF(A103="","",IF(K103&lt;&gt;"ja","BELEG FEHLT",IF(J103="privat","Auslage verrechnen","ok")))</f>
        <v/>
      </c>
    </row>
    <row r="104" customFormat="false" ht="15" hidden="false" customHeight="false" outlineLevel="0" collapsed="false">
      <c r="A104" s="6"/>
      <c r="B104" s="15"/>
      <c r="C104" s="6"/>
      <c r="D104" s="6"/>
      <c r="E104" s="6"/>
      <c r="F104" s="6"/>
      <c r="G104" s="16"/>
      <c r="H104" s="16"/>
      <c r="I104" s="17" t="str">
        <f aca="false">IF(G104="","",G104+H104)</f>
        <v/>
      </c>
      <c r="J104" s="6"/>
      <c r="K104" s="6"/>
      <c r="L104" s="19" t="str">
        <f aca="false">IF(A104="","",IF(K104&lt;&gt;"ja","BELEG FEHLT",IF(J104="privat","Auslage verrechnen","ok")))</f>
        <v/>
      </c>
    </row>
    <row r="105" customFormat="false" ht="15" hidden="false" customHeight="false" outlineLevel="0" collapsed="false">
      <c r="A105" s="6"/>
      <c r="B105" s="15"/>
      <c r="C105" s="6"/>
      <c r="D105" s="6"/>
      <c r="E105" s="6"/>
      <c r="F105" s="6"/>
      <c r="G105" s="16"/>
      <c r="H105" s="16"/>
      <c r="I105" s="17" t="str">
        <f aca="false">IF(G105="","",G105+H105)</f>
        <v/>
      </c>
      <c r="J105" s="6"/>
      <c r="K105" s="6"/>
      <c r="L105" s="19" t="str">
        <f aca="false">IF(A105="","",IF(K105&lt;&gt;"ja","BELEG FEHLT",IF(J105="privat","Auslage verrechnen","ok")))</f>
        <v/>
      </c>
    </row>
    <row r="106" customFormat="false" ht="15" hidden="false" customHeight="false" outlineLevel="0" collapsed="false">
      <c r="A106" s="6"/>
      <c r="B106" s="15"/>
      <c r="C106" s="6"/>
      <c r="D106" s="6"/>
      <c r="E106" s="6"/>
      <c r="F106" s="6"/>
      <c r="G106" s="16"/>
      <c r="H106" s="16"/>
      <c r="I106" s="17" t="str">
        <f aca="false">IF(G106="","",G106+H106)</f>
        <v/>
      </c>
      <c r="J106" s="6"/>
      <c r="K106" s="6"/>
      <c r="L106" s="19" t="str">
        <f aca="false">IF(A106="","",IF(K106&lt;&gt;"ja","BELEG FEHLT",IF(J106="privat","Auslage verrechnen","ok")))</f>
        <v/>
      </c>
    </row>
    <row r="107" customFormat="false" ht="15" hidden="false" customHeight="false" outlineLevel="0" collapsed="false">
      <c r="A107" s="6"/>
      <c r="B107" s="15"/>
      <c r="C107" s="6"/>
      <c r="D107" s="6"/>
      <c r="E107" s="6"/>
      <c r="F107" s="6"/>
      <c r="G107" s="16"/>
      <c r="H107" s="16"/>
      <c r="I107" s="17" t="str">
        <f aca="false">IF(G107="","",G107+H107)</f>
        <v/>
      </c>
      <c r="J107" s="6"/>
      <c r="K107" s="6"/>
      <c r="L107" s="19" t="str">
        <f aca="false">IF(A107="","",IF(K107&lt;&gt;"ja","BELEG FEHLT",IF(J107="privat","Auslage verrechnen","ok")))</f>
        <v/>
      </c>
    </row>
    <row r="108" customFormat="false" ht="15" hidden="false" customHeight="false" outlineLevel="0" collapsed="false">
      <c r="A108" s="6"/>
      <c r="B108" s="15"/>
      <c r="C108" s="6"/>
      <c r="D108" s="6"/>
      <c r="E108" s="6"/>
      <c r="F108" s="6"/>
      <c r="G108" s="16"/>
      <c r="H108" s="16"/>
      <c r="I108" s="17" t="str">
        <f aca="false">IF(G108="","",G108+H108)</f>
        <v/>
      </c>
      <c r="J108" s="6"/>
      <c r="K108" s="6"/>
      <c r="L108" s="19" t="str">
        <f aca="false">IF(A108="","",IF(K108&lt;&gt;"ja","BELEG FEHLT",IF(J108="privat","Auslage verrechnen","ok")))</f>
        <v/>
      </c>
    </row>
    <row r="109" customFormat="false" ht="15" hidden="false" customHeight="false" outlineLevel="0" collapsed="false">
      <c r="A109" s="6"/>
      <c r="B109" s="15"/>
      <c r="C109" s="6"/>
      <c r="D109" s="6"/>
      <c r="E109" s="6"/>
      <c r="F109" s="6"/>
      <c r="G109" s="16"/>
      <c r="H109" s="16"/>
      <c r="I109" s="17" t="str">
        <f aca="false">IF(G109="","",G109+H109)</f>
        <v/>
      </c>
      <c r="J109" s="6"/>
      <c r="K109" s="6"/>
      <c r="L109" s="19" t="str">
        <f aca="false">IF(A109="","",IF(K109&lt;&gt;"ja","BELEG FEHLT",IF(J109="privat","Auslage verrechnen","ok")))</f>
        <v/>
      </c>
    </row>
    <row r="110" customFormat="false" ht="15" hidden="false" customHeight="false" outlineLevel="0" collapsed="false">
      <c r="A110" s="6"/>
      <c r="B110" s="15"/>
      <c r="C110" s="6"/>
      <c r="D110" s="6"/>
      <c r="E110" s="6"/>
      <c r="F110" s="6"/>
      <c r="G110" s="16"/>
      <c r="H110" s="16"/>
      <c r="I110" s="17" t="str">
        <f aca="false">IF(G110="","",G110+H110)</f>
        <v/>
      </c>
      <c r="J110" s="6"/>
      <c r="K110" s="6"/>
      <c r="L110" s="19" t="str">
        <f aca="false">IF(A110="","",IF(K110&lt;&gt;"ja","BELEG FEHLT",IF(J110="privat","Auslage verrechnen","ok")))</f>
        <v/>
      </c>
    </row>
    <row r="111" customFormat="false" ht="15" hidden="false" customHeight="false" outlineLevel="0" collapsed="false">
      <c r="A111" s="6"/>
      <c r="B111" s="15"/>
      <c r="C111" s="6"/>
      <c r="D111" s="6"/>
      <c r="E111" s="6"/>
      <c r="F111" s="6"/>
      <c r="G111" s="16"/>
      <c r="H111" s="16"/>
      <c r="I111" s="17" t="str">
        <f aca="false">IF(G111="","",G111+H111)</f>
        <v/>
      </c>
      <c r="J111" s="6"/>
      <c r="K111" s="6"/>
      <c r="L111" s="19" t="str">
        <f aca="false">IF(A111="","",IF(K111&lt;&gt;"ja","BELEG FEHLT",IF(J111="privat","Auslage verrechnen","ok")))</f>
        <v/>
      </c>
    </row>
    <row r="112" customFormat="false" ht="15" hidden="false" customHeight="false" outlineLevel="0" collapsed="false">
      <c r="A112" s="6"/>
      <c r="B112" s="15"/>
      <c r="C112" s="6"/>
      <c r="D112" s="6"/>
      <c r="E112" s="6"/>
      <c r="F112" s="6"/>
      <c r="G112" s="16"/>
      <c r="H112" s="16"/>
      <c r="I112" s="17" t="str">
        <f aca="false">IF(G112="","",G112+H112)</f>
        <v/>
      </c>
      <c r="J112" s="6"/>
      <c r="K112" s="6"/>
      <c r="L112" s="19" t="str">
        <f aca="false">IF(A112="","",IF(K112&lt;&gt;"ja","BELEG FEHLT",IF(J112="privat","Auslage verrechnen","ok")))</f>
        <v/>
      </c>
    </row>
    <row r="113" customFormat="false" ht="15" hidden="false" customHeight="false" outlineLevel="0" collapsed="false">
      <c r="A113" s="6"/>
      <c r="B113" s="15"/>
      <c r="C113" s="6"/>
      <c r="D113" s="6"/>
      <c r="E113" s="6"/>
      <c r="F113" s="6"/>
      <c r="G113" s="16"/>
      <c r="H113" s="16"/>
      <c r="I113" s="17" t="str">
        <f aca="false">IF(G113="","",G113+H113)</f>
        <v/>
      </c>
      <c r="J113" s="6"/>
      <c r="K113" s="6"/>
      <c r="L113" s="19" t="str">
        <f aca="false">IF(A113="","",IF(K113&lt;&gt;"ja","BELEG FEHLT",IF(J113="privat","Auslage verrechnen","ok")))</f>
        <v/>
      </c>
    </row>
    <row r="114" customFormat="false" ht="15" hidden="false" customHeight="false" outlineLevel="0" collapsed="false">
      <c r="A114" s="6"/>
      <c r="B114" s="15"/>
      <c r="C114" s="6"/>
      <c r="D114" s="6"/>
      <c r="E114" s="6"/>
      <c r="F114" s="6"/>
      <c r="G114" s="16"/>
      <c r="H114" s="16"/>
      <c r="I114" s="17" t="str">
        <f aca="false">IF(G114="","",G114+H114)</f>
        <v/>
      </c>
      <c r="J114" s="6"/>
      <c r="K114" s="6"/>
      <c r="L114" s="19" t="str">
        <f aca="false">IF(A114="","",IF(K114&lt;&gt;"ja","BELEG FEHLT",IF(J114="privat","Auslage verrechnen","ok")))</f>
        <v/>
      </c>
    </row>
    <row r="115" customFormat="false" ht="15" hidden="false" customHeight="false" outlineLevel="0" collapsed="false">
      <c r="A115" s="6"/>
      <c r="B115" s="15"/>
      <c r="C115" s="6"/>
      <c r="D115" s="6"/>
      <c r="E115" s="6"/>
      <c r="F115" s="6"/>
      <c r="G115" s="16"/>
      <c r="H115" s="16"/>
      <c r="I115" s="17" t="str">
        <f aca="false">IF(G115="","",G115+H115)</f>
        <v/>
      </c>
      <c r="J115" s="6"/>
      <c r="K115" s="6"/>
      <c r="L115" s="19" t="str">
        <f aca="false">IF(A115="","",IF(K115&lt;&gt;"ja","BELEG FEHLT",IF(J115="privat","Auslage verrechnen","ok")))</f>
        <v/>
      </c>
    </row>
    <row r="116" customFormat="false" ht="15" hidden="false" customHeight="false" outlineLevel="0" collapsed="false">
      <c r="A116" s="6"/>
      <c r="B116" s="15"/>
      <c r="C116" s="6"/>
      <c r="D116" s="6"/>
      <c r="E116" s="6"/>
      <c r="F116" s="6"/>
      <c r="G116" s="16"/>
      <c r="H116" s="16"/>
      <c r="I116" s="17" t="str">
        <f aca="false">IF(G116="","",G116+H116)</f>
        <v/>
      </c>
      <c r="J116" s="6"/>
      <c r="K116" s="6"/>
      <c r="L116" s="19" t="str">
        <f aca="false">IF(A116="","",IF(K116&lt;&gt;"ja","BELEG FEHLT",IF(J116="privat","Auslage verrechnen","ok")))</f>
        <v/>
      </c>
    </row>
    <row r="117" customFormat="false" ht="15" hidden="false" customHeight="false" outlineLevel="0" collapsed="false">
      <c r="A117" s="6"/>
      <c r="B117" s="15"/>
      <c r="C117" s="6"/>
      <c r="D117" s="6"/>
      <c r="E117" s="6"/>
      <c r="F117" s="6"/>
      <c r="G117" s="16"/>
      <c r="H117" s="16"/>
      <c r="I117" s="17" t="str">
        <f aca="false">IF(G117="","",G117+H117)</f>
        <v/>
      </c>
      <c r="J117" s="6"/>
      <c r="K117" s="6"/>
      <c r="L117" s="19" t="str">
        <f aca="false">IF(A117="","",IF(K117&lt;&gt;"ja","BELEG FEHLT",IF(J117="privat","Auslage verrechnen","ok")))</f>
        <v/>
      </c>
    </row>
    <row r="118" customFormat="false" ht="15" hidden="false" customHeight="false" outlineLevel="0" collapsed="false">
      <c r="A118" s="6"/>
      <c r="B118" s="15"/>
      <c r="C118" s="6"/>
      <c r="D118" s="6"/>
      <c r="E118" s="6"/>
      <c r="F118" s="6"/>
      <c r="G118" s="16"/>
      <c r="H118" s="16"/>
      <c r="I118" s="17" t="str">
        <f aca="false">IF(G118="","",G118+H118)</f>
        <v/>
      </c>
      <c r="J118" s="6"/>
      <c r="K118" s="6"/>
      <c r="L118" s="19" t="str">
        <f aca="false">IF(A118="","",IF(K118&lt;&gt;"ja","BELEG FEHLT",IF(J118="privat","Auslage verrechnen","ok")))</f>
        <v/>
      </c>
    </row>
    <row r="119" customFormat="false" ht="15" hidden="false" customHeight="false" outlineLevel="0" collapsed="false">
      <c r="A119" s="6"/>
      <c r="B119" s="15"/>
      <c r="C119" s="6"/>
      <c r="D119" s="6"/>
      <c r="E119" s="6"/>
      <c r="F119" s="6"/>
      <c r="G119" s="16"/>
      <c r="H119" s="16"/>
      <c r="I119" s="17" t="str">
        <f aca="false">IF(G119="","",G119+H119)</f>
        <v/>
      </c>
      <c r="J119" s="6"/>
      <c r="K119" s="6"/>
      <c r="L119" s="19" t="str">
        <f aca="false">IF(A119="","",IF(K119&lt;&gt;"ja","BELEG FEHLT",IF(J119="privat","Auslage verrechnen","ok")))</f>
        <v/>
      </c>
    </row>
    <row r="120" customFormat="false" ht="15" hidden="false" customHeight="false" outlineLevel="0" collapsed="false">
      <c r="A120" s="6"/>
      <c r="B120" s="15"/>
      <c r="C120" s="6"/>
      <c r="D120" s="6"/>
      <c r="E120" s="6"/>
      <c r="F120" s="6"/>
      <c r="G120" s="16"/>
      <c r="H120" s="16"/>
      <c r="I120" s="17" t="str">
        <f aca="false">IF(G120="","",G120+H120)</f>
        <v/>
      </c>
      <c r="J120" s="6"/>
      <c r="K120" s="6"/>
      <c r="L120" s="19" t="str">
        <f aca="false">IF(A120="","",IF(K120&lt;&gt;"ja","BELEG FEHLT",IF(J120="privat","Auslage verrechnen","ok")))</f>
        <v/>
      </c>
    </row>
    <row r="121" customFormat="false" ht="15" hidden="false" customHeight="false" outlineLevel="0" collapsed="false">
      <c r="A121" s="6"/>
      <c r="B121" s="15"/>
      <c r="C121" s="6"/>
      <c r="D121" s="6"/>
      <c r="E121" s="6"/>
      <c r="F121" s="6"/>
      <c r="G121" s="16"/>
      <c r="H121" s="16"/>
      <c r="I121" s="17" t="str">
        <f aca="false">IF(G121="","",G121+H121)</f>
        <v/>
      </c>
      <c r="J121" s="6"/>
      <c r="K121" s="6"/>
      <c r="L121" s="19" t="str">
        <f aca="false">IF(A121="","",IF(K121&lt;&gt;"ja","BELEG FEHLT",IF(J121="privat","Auslage verrechnen","ok")))</f>
        <v/>
      </c>
    </row>
    <row r="122" customFormat="false" ht="15" hidden="false" customHeight="false" outlineLevel="0" collapsed="false">
      <c r="A122" s="6"/>
      <c r="B122" s="15"/>
      <c r="C122" s="6"/>
      <c r="D122" s="6"/>
      <c r="E122" s="6"/>
      <c r="F122" s="6"/>
      <c r="G122" s="16"/>
      <c r="H122" s="16"/>
      <c r="I122" s="17" t="str">
        <f aca="false">IF(G122="","",G122+H122)</f>
        <v/>
      </c>
      <c r="J122" s="6"/>
      <c r="K122" s="6"/>
      <c r="L122" s="19" t="str">
        <f aca="false">IF(A122="","",IF(K122&lt;&gt;"ja","BELEG FEHLT",IF(J122="privat","Auslage verrechnen","ok")))</f>
        <v/>
      </c>
    </row>
    <row r="123" customFormat="false" ht="15" hidden="false" customHeight="false" outlineLevel="0" collapsed="false">
      <c r="A123" s="6"/>
      <c r="B123" s="15"/>
      <c r="C123" s="6"/>
      <c r="D123" s="6"/>
      <c r="E123" s="6"/>
      <c r="F123" s="6"/>
      <c r="G123" s="16"/>
      <c r="H123" s="16"/>
      <c r="I123" s="17" t="str">
        <f aca="false">IF(G123="","",G123+H123)</f>
        <v/>
      </c>
      <c r="J123" s="6"/>
      <c r="K123" s="6"/>
      <c r="L123" s="19" t="str">
        <f aca="false">IF(A123="","",IF(K123&lt;&gt;"ja","BELEG FEHLT",IF(J123="privat","Auslage verrechnen","ok")))</f>
        <v/>
      </c>
    </row>
    <row r="124" customFormat="false" ht="15" hidden="false" customHeight="false" outlineLevel="0" collapsed="false">
      <c r="A124" s="6"/>
      <c r="B124" s="15"/>
      <c r="C124" s="6"/>
      <c r="D124" s="6"/>
      <c r="E124" s="6"/>
      <c r="F124" s="6"/>
      <c r="G124" s="16"/>
      <c r="H124" s="16"/>
      <c r="I124" s="17" t="str">
        <f aca="false">IF(G124="","",G124+H124)</f>
        <v/>
      </c>
      <c r="J124" s="6"/>
      <c r="K124" s="6"/>
      <c r="L124" s="19" t="str">
        <f aca="false">IF(A124="","",IF(K124&lt;&gt;"ja","BELEG FEHLT",IF(J124="privat","Auslage verrechnen","ok")))</f>
        <v/>
      </c>
    </row>
    <row r="125" customFormat="false" ht="15" hidden="false" customHeight="false" outlineLevel="0" collapsed="false">
      <c r="A125" s="6"/>
      <c r="B125" s="15"/>
      <c r="C125" s="6"/>
      <c r="D125" s="6"/>
      <c r="E125" s="6"/>
      <c r="F125" s="6"/>
      <c r="G125" s="16"/>
      <c r="H125" s="16"/>
      <c r="I125" s="17" t="str">
        <f aca="false">IF(G125="","",G125+H125)</f>
        <v/>
      </c>
      <c r="J125" s="6"/>
      <c r="K125" s="6"/>
      <c r="L125" s="19" t="str">
        <f aca="false">IF(A125="","",IF(K125&lt;&gt;"ja","BELEG FEHLT",IF(J125="privat","Auslage verrechnen","ok")))</f>
        <v/>
      </c>
    </row>
    <row r="126" customFormat="false" ht="15" hidden="false" customHeight="false" outlineLevel="0" collapsed="false">
      <c r="A126" s="6"/>
      <c r="B126" s="15"/>
      <c r="C126" s="6"/>
      <c r="D126" s="6"/>
      <c r="E126" s="6"/>
      <c r="F126" s="6"/>
      <c r="G126" s="16"/>
      <c r="H126" s="16"/>
      <c r="I126" s="17" t="str">
        <f aca="false">IF(G126="","",G126+H126)</f>
        <v/>
      </c>
      <c r="J126" s="6"/>
      <c r="K126" s="6"/>
      <c r="L126" s="19" t="str">
        <f aca="false">IF(A126="","",IF(K126&lt;&gt;"ja","BELEG FEHLT",IF(J126="privat","Auslage verrechnen","ok")))</f>
        <v/>
      </c>
    </row>
    <row r="127" customFormat="false" ht="15" hidden="false" customHeight="false" outlineLevel="0" collapsed="false">
      <c r="A127" s="6"/>
      <c r="B127" s="15"/>
      <c r="C127" s="6"/>
      <c r="D127" s="6"/>
      <c r="E127" s="6"/>
      <c r="F127" s="6"/>
      <c r="G127" s="16"/>
      <c r="H127" s="16"/>
      <c r="I127" s="17" t="str">
        <f aca="false">IF(G127="","",G127+H127)</f>
        <v/>
      </c>
      <c r="J127" s="6"/>
      <c r="K127" s="6"/>
      <c r="L127" s="19" t="str">
        <f aca="false">IF(A127="","",IF(K127&lt;&gt;"ja","BELEG FEHLT",IF(J127="privat","Auslage verrechnen","ok")))</f>
        <v/>
      </c>
    </row>
    <row r="128" customFormat="false" ht="15" hidden="false" customHeight="false" outlineLevel="0" collapsed="false">
      <c r="A128" s="6"/>
      <c r="B128" s="15"/>
      <c r="C128" s="6"/>
      <c r="D128" s="6"/>
      <c r="E128" s="6"/>
      <c r="F128" s="6"/>
      <c r="G128" s="16"/>
      <c r="H128" s="16"/>
      <c r="I128" s="17" t="str">
        <f aca="false">IF(G128="","",G128+H128)</f>
        <v/>
      </c>
      <c r="J128" s="6"/>
      <c r="K128" s="6"/>
      <c r="L128" s="19" t="str">
        <f aca="false">IF(A128="","",IF(K128&lt;&gt;"ja","BELEG FEHLT",IF(J128="privat","Auslage verrechnen","ok")))</f>
        <v/>
      </c>
    </row>
    <row r="129" customFormat="false" ht="15" hidden="false" customHeight="false" outlineLevel="0" collapsed="false">
      <c r="A129" s="6"/>
      <c r="B129" s="15"/>
      <c r="C129" s="6"/>
      <c r="D129" s="6"/>
      <c r="E129" s="6"/>
      <c r="F129" s="6"/>
      <c r="G129" s="16"/>
      <c r="H129" s="16"/>
      <c r="I129" s="17" t="str">
        <f aca="false">IF(G129="","",G129+H129)</f>
        <v/>
      </c>
      <c r="J129" s="6"/>
      <c r="K129" s="6"/>
      <c r="L129" s="19" t="str">
        <f aca="false">IF(A129="","",IF(K129&lt;&gt;"ja","BELEG FEHLT",IF(J129="privat","Auslage verrechnen","ok")))</f>
        <v/>
      </c>
    </row>
    <row r="130" customFormat="false" ht="15" hidden="false" customHeight="false" outlineLevel="0" collapsed="false">
      <c r="A130" s="6"/>
      <c r="B130" s="15"/>
      <c r="C130" s="6"/>
      <c r="D130" s="6"/>
      <c r="E130" s="6"/>
      <c r="F130" s="6"/>
      <c r="G130" s="16"/>
      <c r="H130" s="16"/>
      <c r="I130" s="17" t="str">
        <f aca="false">IF(G130="","",G130+H130)</f>
        <v/>
      </c>
      <c r="J130" s="6"/>
      <c r="K130" s="6"/>
      <c r="L130" s="19" t="str">
        <f aca="false">IF(A130="","",IF(K130&lt;&gt;"ja","BELEG FEHLT",IF(J130="privat","Auslage verrechnen","ok")))</f>
        <v/>
      </c>
    </row>
    <row r="131" customFormat="false" ht="15" hidden="false" customHeight="false" outlineLevel="0" collapsed="false">
      <c r="A131" s="6"/>
      <c r="B131" s="15"/>
      <c r="C131" s="6"/>
      <c r="D131" s="6"/>
      <c r="E131" s="6"/>
      <c r="F131" s="6"/>
      <c r="G131" s="16"/>
      <c r="H131" s="16"/>
      <c r="I131" s="17" t="str">
        <f aca="false">IF(G131="","",G131+H131)</f>
        <v/>
      </c>
      <c r="J131" s="6"/>
      <c r="K131" s="6"/>
      <c r="L131" s="19" t="str">
        <f aca="false">IF(A131="","",IF(K131&lt;&gt;"ja","BELEG FEHLT",IF(J131="privat","Auslage verrechnen","ok")))</f>
        <v/>
      </c>
    </row>
    <row r="132" customFormat="false" ht="15" hidden="false" customHeight="false" outlineLevel="0" collapsed="false">
      <c r="A132" s="6"/>
      <c r="B132" s="15"/>
      <c r="C132" s="6"/>
      <c r="D132" s="6"/>
      <c r="E132" s="6"/>
      <c r="F132" s="6"/>
      <c r="G132" s="16"/>
      <c r="H132" s="16"/>
      <c r="I132" s="17" t="str">
        <f aca="false">IF(G132="","",G132+H132)</f>
        <v/>
      </c>
      <c r="J132" s="6"/>
      <c r="K132" s="6"/>
      <c r="L132" s="19" t="str">
        <f aca="false">IF(A132="","",IF(K132&lt;&gt;"ja","BELEG FEHLT",IF(J132="privat","Auslage verrechnen","ok")))</f>
        <v/>
      </c>
    </row>
    <row r="133" customFormat="false" ht="15" hidden="false" customHeight="false" outlineLevel="0" collapsed="false">
      <c r="A133" s="6"/>
      <c r="B133" s="15"/>
      <c r="C133" s="6"/>
      <c r="D133" s="6"/>
      <c r="E133" s="6"/>
      <c r="F133" s="6"/>
      <c r="G133" s="16"/>
      <c r="H133" s="16"/>
      <c r="I133" s="17" t="str">
        <f aca="false">IF(G133="","",G133+H133)</f>
        <v/>
      </c>
      <c r="J133" s="6"/>
      <c r="K133" s="6"/>
      <c r="L133" s="19" t="str">
        <f aca="false">IF(A133="","",IF(K133&lt;&gt;"ja","BELEG FEHLT",IF(J133="privat","Auslage verrechnen","ok")))</f>
        <v/>
      </c>
    </row>
    <row r="134" customFormat="false" ht="15" hidden="false" customHeight="false" outlineLevel="0" collapsed="false">
      <c r="A134" s="6"/>
      <c r="B134" s="15"/>
      <c r="C134" s="6"/>
      <c r="D134" s="6"/>
      <c r="E134" s="6"/>
      <c r="F134" s="6"/>
      <c r="G134" s="16"/>
      <c r="H134" s="16"/>
      <c r="I134" s="17" t="str">
        <f aca="false">IF(G134="","",G134+H134)</f>
        <v/>
      </c>
      <c r="J134" s="6"/>
      <c r="K134" s="6"/>
      <c r="L134" s="19" t="str">
        <f aca="false">IF(A134="","",IF(K134&lt;&gt;"ja","BELEG FEHLT",IF(J134="privat","Auslage verrechnen","ok")))</f>
        <v/>
      </c>
    </row>
    <row r="135" customFormat="false" ht="15" hidden="false" customHeight="false" outlineLevel="0" collapsed="false">
      <c r="A135" s="6"/>
      <c r="B135" s="15"/>
      <c r="C135" s="6"/>
      <c r="D135" s="6"/>
      <c r="E135" s="6"/>
      <c r="F135" s="6"/>
      <c r="G135" s="16"/>
      <c r="H135" s="16"/>
      <c r="I135" s="17" t="str">
        <f aca="false">IF(G135="","",G135+H135)</f>
        <v/>
      </c>
      <c r="J135" s="6"/>
      <c r="K135" s="6"/>
      <c r="L135" s="19" t="str">
        <f aca="false">IF(A135="","",IF(K135&lt;&gt;"ja","BELEG FEHLT",IF(J135="privat","Auslage verrechnen","ok")))</f>
        <v/>
      </c>
    </row>
    <row r="136" customFormat="false" ht="15" hidden="false" customHeight="false" outlineLevel="0" collapsed="false">
      <c r="A136" s="6"/>
      <c r="B136" s="15"/>
      <c r="C136" s="6"/>
      <c r="D136" s="6"/>
      <c r="E136" s="6"/>
      <c r="F136" s="6"/>
      <c r="G136" s="16"/>
      <c r="H136" s="16"/>
      <c r="I136" s="17" t="str">
        <f aca="false">IF(G136="","",G136+H136)</f>
        <v/>
      </c>
      <c r="J136" s="6"/>
      <c r="K136" s="6"/>
      <c r="L136" s="19" t="str">
        <f aca="false">IF(A136="","",IF(K136&lt;&gt;"ja","BELEG FEHLT",IF(J136="privat","Auslage verrechnen","ok")))</f>
        <v/>
      </c>
    </row>
    <row r="137" customFormat="false" ht="15" hidden="false" customHeight="false" outlineLevel="0" collapsed="false">
      <c r="A137" s="6"/>
      <c r="B137" s="15"/>
      <c r="C137" s="6"/>
      <c r="D137" s="6"/>
      <c r="E137" s="6"/>
      <c r="F137" s="6"/>
      <c r="G137" s="16"/>
      <c r="H137" s="16"/>
      <c r="I137" s="17" t="str">
        <f aca="false">IF(G137="","",G137+H137)</f>
        <v/>
      </c>
      <c r="J137" s="6"/>
      <c r="K137" s="6"/>
      <c r="L137" s="19" t="str">
        <f aca="false">IF(A137="","",IF(K137&lt;&gt;"ja","BELEG FEHLT",IF(J137="privat","Auslage verrechnen","ok")))</f>
        <v/>
      </c>
    </row>
    <row r="138" customFormat="false" ht="15" hidden="false" customHeight="false" outlineLevel="0" collapsed="false">
      <c r="A138" s="6"/>
      <c r="B138" s="15"/>
      <c r="C138" s="6"/>
      <c r="D138" s="6"/>
      <c r="E138" s="6"/>
      <c r="F138" s="6"/>
      <c r="G138" s="16"/>
      <c r="H138" s="16"/>
      <c r="I138" s="17" t="str">
        <f aca="false">IF(G138="","",G138+H138)</f>
        <v/>
      </c>
      <c r="J138" s="6"/>
      <c r="K138" s="6"/>
      <c r="L138" s="19" t="str">
        <f aca="false">IF(A138="","",IF(K138&lt;&gt;"ja","BELEG FEHLT",IF(J138="privat","Auslage verrechnen","ok")))</f>
        <v/>
      </c>
    </row>
    <row r="139" customFormat="false" ht="15" hidden="false" customHeight="false" outlineLevel="0" collapsed="false">
      <c r="A139" s="6"/>
      <c r="B139" s="15"/>
      <c r="C139" s="6"/>
      <c r="D139" s="6"/>
      <c r="E139" s="6"/>
      <c r="F139" s="6"/>
      <c r="G139" s="16"/>
      <c r="H139" s="16"/>
      <c r="I139" s="17" t="str">
        <f aca="false">IF(G139="","",G139+H139)</f>
        <v/>
      </c>
      <c r="J139" s="6"/>
      <c r="K139" s="6"/>
      <c r="L139" s="19" t="str">
        <f aca="false">IF(A139="","",IF(K139&lt;&gt;"ja","BELEG FEHLT",IF(J139="privat","Auslage verrechnen","ok")))</f>
        <v/>
      </c>
    </row>
    <row r="140" customFormat="false" ht="15" hidden="false" customHeight="false" outlineLevel="0" collapsed="false">
      <c r="A140" s="6"/>
      <c r="B140" s="15"/>
      <c r="C140" s="6"/>
      <c r="D140" s="6"/>
      <c r="E140" s="6"/>
      <c r="F140" s="6"/>
      <c r="G140" s="16"/>
      <c r="H140" s="16"/>
      <c r="I140" s="17" t="str">
        <f aca="false">IF(G140="","",G140+H140)</f>
        <v/>
      </c>
      <c r="J140" s="6"/>
      <c r="K140" s="6"/>
      <c r="L140" s="19" t="str">
        <f aca="false">IF(A140="","",IF(K140&lt;&gt;"ja","BELEG FEHLT",IF(J140="privat","Auslage verrechnen","ok")))</f>
        <v/>
      </c>
    </row>
    <row r="141" customFormat="false" ht="15" hidden="false" customHeight="false" outlineLevel="0" collapsed="false">
      <c r="A141" s="6"/>
      <c r="B141" s="15"/>
      <c r="C141" s="6"/>
      <c r="D141" s="6"/>
      <c r="E141" s="6"/>
      <c r="F141" s="6"/>
      <c r="G141" s="16"/>
      <c r="H141" s="16"/>
      <c r="I141" s="17" t="str">
        <f aca="false">IF(G141="","",G141+H141)</f>
        <v/>
      </c>
      <c r="J141" s="6"/>
      <c r="K141" s="6"/>
      <c r="L141" s="19" t="str">
        <f aca="false">IF(A141="","",IF(K141&lt;&gt;"ja","BELEG FEHLT",IF(J141="privat","Auslage verrechnen","ok")))</f>
        <v/>
      </c>
    </row>
    <row r="142" customFormat="false" ht="15" hidden="false" customHeight="false" outlineLevel="0" collapsed="false">
      <c r="A142" s="6"/>
      <c r="B142" s="15"/>
      <c r="C142" s="6"/>
      <c r="D142" s="6"/>
      <c r="E142" s="6"/>
      <c r="F142" s="6"/>
      <c r="G142" s="16"/>
      <c r="H142" s="16"/>
      <c r="I142" s="17" t="str">
        <f aca="false">IF(G142="","",G142+H142)</f>
        <v/>
      </c>
      <c r="J142" s="6"/>
      <c r="K142" s="6"/>
      <c r="L142" s="19" t="str">
        <f aca="false">IF(A142="","",IF(K142&lt;&gt;"ja","BELEG FEHLT",IF(J142="privat","Auslage verrechnen","ok")))</f>
        <v/>
      </c>
    </row>
    <row r="143" customFormat="false" ht="15" hidden="false" customHeight="false" outlineLevel="0" collapsed="false">
      <c r="A143" s="6"/>
      <c r="B143" s="15"/>
      <c r="C143" s="6"/>
      <c r="D143" s="6"/>
      <c r="E143" s="6"/>
      <c r="F143" s="6"/>
      <c r="G143" s="16"/>
      <c r="H143" s="16"/>
      <c r="I143" s="17" t="str">
        <f aca="false">IF(G143="","",G143+H143)</f>
        <v/>
      </c>
      <c r="J143" s="6"/>
      <c r="K143" s="6"/>
      <c r="L143" s="19" t="str">
        <f aca="false">IF(A143="","",IF(K143&lt;&gt;"ja","BELEG FEHLT",IF(J143="privat","Auslage verrechnen","ok")))</f>
        <v/>
      </c>
    </row>
    <row r="144" customFormat="false" ht="15" hidden="false" customHeight="false" outlineLevel="0" collapsed="false">
      <c r="A144" s="6"/>
      <c r="B144" s="15"/>
      <c r="C144" s="6"/>
      <c r="D144" s="6"/>
      <c r="E144" s="6"/>
      <c r="F144" s="6"/>
      <c r="G144" s="16"/>
      <c r="H144" s="16"/>
      <c r="I144" s="17" t="str">
        <f aca="false">IF(G144="","",G144+H144)</f>
        <v/>
      </c>
      <c r="J144" s="6"/>
      <c r="K144" s="6"/>
      <c r="L144" s="19" t="str">
        <f aca="false">IF(A144="","",IF(K144&lt;&gt;"ja","BELEG FEHLT",IF(J144="privat","Auslage verrechnen","ok")))</f>
        <v/>
      </c>
    </row>
    <row r="145" customFormat="false" ht="15" hidden="false" customHeight="false" outlineLevel="0" collapsed="false">
      <c r="A145" s="6"/>
      <c r="B145" s="15"/>
      <c r="C145" s="6"/>
      <c r="D145" s="6"/>
      <c r="E145" s="6"/>
      <c r="F145" s="6"/>
      <c r="G145" s="16"/>
      <c r="H145" s="16"/>
      <c r="I145" s="17" t="str">
        <f aca="false">IF(G145="","",G145+H145)</f>
        <v/>
      </c>
      <c r="J145" s="6"/>
      <c r="K145" s="6"/>
      <c r="L145" s="19" t="str">
        <f aca="false">IF(A145="","",IF(K145&lt;&gt;"ja","BELEG FEHLT",IF(J145="privat","Auslage verrechnen","ok")))</f>
        <v/>
      </c>
    </row>
    <row r="146" customFormat="false" ht="15" hidden="false" customHeight="false" outlineLevel="0" collapsed="false">
      <c r="A146" s="6"/>
      <c r="B146" s="15"/>
      <c r="C146" s="6"/>
      <c r="D146" s="6"/>
      <c r="E146" s="6"/>
      <c r="F146" s="6"/>
      <c r="G146" s="16"/>
      <c r="H146" s="16"/>
      <c r="I146" s="17" t="str">
        <f aca="false">IF(G146="","",G146+H146)</f>
        <v/>
      </c>
      <c r="J146" s="6"/>
      <c r="K146" s="6"/>
      <c r="L146" s="19" t="str">
        <f aca="false">IF(A146="","",IF(K146&lt;&gt;"ja","BELEG FEHLT",IF(J146="privat","Auslage verrechnen","ok")))</f>
        <v/>
      </c>
    </row>
    <row r="147" customFormat="false" ht="15" hidden="false" customHeight="false" outlineLevel="0" collapsed="false">
      <c r="A147" s="6"/>
      <c r="B147" s="15"/>
      <c r="C147" s="6"/>
      <c r="D147" s="6"/>
      <c r="E147" s="6"/>
      <c r="F147" s="6"/>
      <c r="G147" s="16"/>
      <c r="H147" s="16"/>
      <c r="I147" s="17" t="str">
        <f aca="false">IF(G147="","",G147+H147)</f>
        <v/>
      </c>
      <c r="J147" s="6"/>
      <c r="K147" s="6"/>
      <c r="L147" s="19" t="str">
        <f aca="false">IF(A147="","",IF(K147&lt;&gt;"ja","BELEG FEHLT",IF(J147="privat","Auslage verrechnen","ok")))</f>
        <v/>
      </c>
    </row>
    <row r="148" customFormat="false" ht="15" hidden="false" customHeight="false" outlineLevel="0" collapsed="false">
      <c r="A148" s="6"/>
      <c r="B148" s="15"/>
      <c r="C148" s="6"/>
      <c r="D148" s="6"/>
      <c r="E148" s="6"/>
      <c r="F148" s="6"/>
      <c r="G148" s="16"/>
      <c r="H148" s="16"/>
      <c r="I148" s="17" t="str">
        <f aca="false">IF(G148="","",G148+H148)</f>
        <v/>
      </c>
      <c r="J148" s="6"/>
      <c r="K148" s="6"/>
      <c r="L148" s="19" t="str">
        <f aca="false">IF(A148="","",IF(K148&lt;&gt;"ja","BELEG FEHLT",IF(J148="privat","Auslage verrechnen","ok")))</f>
        <v/>
      </c>
    </row>
    <row r="149" customFormat="false" ht="15" hidden="false" customHeight="false" outlineLevel="0" collapsed="false">
      <c r="A149" s="6"/>
      <c r="B149" s="15"/>
      <c r="C149" s="6"/>
      <c r="D149" s="6"/>
      <c r="E149" s="6"/>
      <c r="F149" s="6"/>
      <c r="G149" s="16"/>
      <c r="H149" s="16"/>
      <c r="I149" s="17" t="str">
        <f aca="false">IF(G149="","",G149+H149)</f>
        <v/>
      </c>
      <c r="J149" s="6"/>
      <c r="K149" s="6"/>
      <c r="L149" s="19" t="str">
        <f aca="false">IF(A149="","",IF(K149&lt;&gt;"ja","BELEG FEHLT",IF(J149="privat","Auslage verrechnen","ok")))</f>
        <v/>
      </c>
    </row>
    <row r="150" customFormat="false" ht="15" hidden="false" customHeight="false" outlineLevel="0" collapsed="false">
      <c r="A150" s="6"/>
      <c r="B150" s="15"/>
      <c r="C150" s="6"/>
      <c r="D150" s="6"/>
      <c r="E150" s="6"/>
      <c r="F150" s="6"/>
      <c r="G150" s="16"/>
      <c r="H150" s="16"/>
      <c r="I150" s="17" t="str">
        <f aca="false">IF(G150="","",G150+H150)</f>
        <v/>
      </c>
      <c r="J150" s="6"/>
      <c r="K150" s="6"/>
      <c r="L150" s="19" t="str">
        <f aca="false">IF(A150="","",IF(K150&lt;&gt;"ja","BELEG FEHLT",IF(J150="privat","Auslage verrechnen","ok")))</f>
        <v/>
      </c>
    </row>
    <row r="151" customFormat="false" ht="15" hidden="false" customHeight="false" outlineLevel="0" collapsed="false">
      <c r="A151" s="6"/>
      <c r="B151" s="15"/>
      <c r="C151" s="6"/>
      <c r="D151" s="6"/>
      <c r="E151" s="6"/>
      <c r="F151" s="6"/>
      <c r="G151" s="16"/>
      <c r="H151" s="16"/>
      <c r="I151" s="17" t="str">
        <f aca="false">IF(G151="","",G151+H151)</f>
        <v/>
      </c>
      <c r="J151" s="6"/>
      <c r="K151" s="6"/>
      <c r="L151" s="19" t="str">
        <f aca="false">IF(A151="","",IF(K151&lt;&gt;"ja","BELEG FEHLT",IF(J151="privat","Auslage verrechnen","ok")))</f>
        <v/>
      </c>
    </row>
    <row r="152" customFormat="false" ht="15" hidden="false" customHeight="false" outlineLevel="0" collapsed="false">
      <c r="A152" s="6"/>
      <c r="B152" s="15"/>
      <c r="C152" s="6"/>
      <c r="D152" s="6"/>
      <c r="E152" s="6"/>
      <c r="F152" s="6"/>
      <c r="G152" s="16"/>
      <c r="H152" s="16"/>
      <c r="I152" s="17" t="str">
        <f aca="false">IF(G152="","",G152+H152)</f>
        <v/>
      </c>
      <c r="J152" s="6"/>
      <c r="K152" s="6"/>
      <c r="L152" s="19" t="str">
        <f aca="false">IF(A152="","",IF(K152&lt;&gt;"ja","BELEG FEHLT",IF(J152="privat","Auslage verrechnen","ok")))</f>
        <v/>
      </c>
    </row>
    <row r="153" customFormat="false" ht="15" hidden="false" customHeight="false" outlineLevel="0" collapsed="false">
      <c r="A153" s="6"/>
      <c r="B153" s="15"/>
      <c r="C153" s="6"/>
      <c r="D153" s="6"/>
      <c r="E153" s="6"/>
      <c r="F153" s="6"/>
      <c r="G153" s="16"/>
      <c r="H153" s="16"/>
      <c r="I153" s="17" t="str">
        <f aca="false">IF(G153="","",G153+H153)</f>
        <v/>
      </c>
      <c r="J153" s="6"/>
      <c r="K153" s="6"/>
      <c r="L153" s="19" t="str">
        <f aca="false">IF(A153="","",IF(K153&lt;&gt;"ja","BELEG FEHLT",IF(J153="privat","Auslage verrechnen","ok")))</f>
        <v/>
      </c>
    </row>
    <row r="154" customFormat="false" ht="15" hidden="false" customHeight="false" outlineLevel="0" collapsed="false">
      <c r="A154" s="6"/>
      <c r="B154" s="15"/>
      <c r="C154" s="6"/>
      <c r="D154" s="6"/>
      <c r="E154" s="6"/>
      <c r="F154" s="6"/>
      <c r="G154" s="16"/>
      <c r="H154" s="16"/>
      <c r="I154" s="17" t="str">
        <f aca="false">IF(G154="","",G154+H154)</f>
        <v/>
      </c>
      <c r="J154" s="6"/>
      <c r="K154" s="6"/>
      <c r="L154" s="19" t="str">
        <f aca="false">IF(A154="","",IF(K154&lt;&gt;"ja","BELEG FEHLT",IF(J154="privat","Auslage verrechnen","ok")))</f>
        <v/>
      </c>
    </row>
  </sheetData>
  <conditionalFormatting sqref="L5:L154">
    <cfRule type="cellIs" priority="2" operator="equal" aboveAverage="0" equalAverage="0" bottom="0" percent="0" rank="0" text="" dxfId="0">
      <formula>"BELEG FEHLT"</formula>
    </cfRule>
    <cfRule type="cellIs" priority="3" operator="equal" aboveAverage="0" equalAverage="0" bottom="0" percent="0" rank="0" text="" dxfId="1">
      <formula>"Auslage verrechnen"</formula>
    </cfRule>
  </conditionalFormatting>
  <dataValidations count="4">
    <dataValidation allowBlank="true" errorStyle="stop" operator="between" showDropDown="false" showErrorMessage="false" showInputMessage="false" sqref="E5:E154" type="list">
      <formula1>"Filament,Druckerteile,Ersatzteile,Verpackung,Versand,Werkzeug,Software,Etsy-Gebuehren,Strom,Sonstiges"</formula1>
      <formula2>0</formula2>
    </dataValidation>
    <dataValidation allowBlank="true" errorStyle="stop" operator="between" showDropDown="false" showErrorMessage="false" showInputMessage="false" sqref="F5:F154" type="list">
      <formula1>"3D-ALLG,3D-ETSY"</formula1>
      <formula2>0</formula2>
    </dataValidation>
    <dataValidation allowBlank="true" errorStyle="stop" operator="between" showDropDown="false" showErrorMessage="false" showInputMessage="false" sqref="J5:J154" type="list">
      <formula1>"Firmenkonto,privat,PayPal-Firma,PayPal-privat,bar"</formula1>
      <formula2>0</formula2>
    </dataValidation>
    <dataValidation allowBlank="true" errorStyle="stop" operator="between" showDropDown="false" showErrorMessage="false" showInputMessage="false" sqref="K5:K154" type="list">
      <formula1>"ja,nein"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5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2"/>
    <col collapsed="false" customWidth="true" hidden="false" outlineLevel="0" max="3" min="3" style="0" width="11"/>
    <col collapsed="false" customWidth="true" hidden="false" outlineLevel="0" max="4" min="4" style="0" width="12"/>
    <col collapsed="false" customWidth="true" hidden="false" outlineLevel="0" max="5" min="5" style="0" width="14"/>
    <col collapsed="false" customWidth="true" hidden="false" outlineLevel="0" max="6" min="6" style="0" width="12"/>
    <col collapsed="false" customWidth="true" hidden="false" outlineLevel="0" max="7" min="7" style="0" width="18"/>
    <col collapsed="false" customWidth="true" hidden="false" outlineLevel="0" max="8" min="8" style="0" width="15"/>
    <col collapsed="false" customWidth="true" hidden="false" outlineLevel="0" max="9" min="9" style="0" width="13"/>
    <col collapsed="false" customWidth="true" hidden="false" outlineLevel="0" max="10" min="10" style="0" width="16"/>
    <col collapsed="false" customWidth="true" hidden="false" outlineLevel="0" max="11" min="11" style="0" width="14"/>
    <col collapsed="false" customWidth="true" hidden="false" outlineLevel="0" max="12" min="12" style="0" width="12"/>
    <col collapsed="false" customWidth="true" hidden="false" outlineLevel="0" max="13" min="13" style="0" width="14"/>
    <col collapsed="false" customWidth="true" hidden="false" outlineLevel="0" max="14" min="14" style="0" width="11"/>
    <col collapsed="false" customWidth="true" hidden="false" outlineLevel="0" max="15" min="15" style="0" width="16"/>
  </cols>
  <sheetData>
    <row r="1" customFormat="false" ht="21.75" hidden="false" customHeight="true" outlineLevel="0" collapsed="false">
      <c r="A1" s="1" t="s">
        <v>56</v>
      </c>
    </row>
    <row r="2" customFormat="false" ht="15" hidden="false" customHeight="false" outlineLevel="0" collapsed="false">
      <c r="A2" s="10" t="s">
        <v>57</v>
      </c>
      <c r="B2" s="2" t="s">
        <v>58</v>
      </c>
    </row>
    <row r="4" customFormat="false" ht="30" hidden="false" customHeight="true" outlineLevel="0" collapsed="false">
      <c r="A4" s="14" t="s">
        <v>31</v>
      </c>
      <c r="B4" s="14" t="s">
        <v>59</v>
      </c>
      <c r="C4" s="14" t="s">
        <v>60</v>
      </c>
      <c r="D4" s="14" t="s">
        <v>61</v>
      </c>
      <c r="E4" s="14" t="s">
        <v>62</v>
      </c>
      <c r="F4" s="14" t="s">
        <v>63</v>
      </c>
      <c r="G4" s="14" t="s">
        <v>64</v>
      </c>
      <c r="H4" s="14" t="s">
        <v>65</v>
      </c>
      <c r="I4" s="14" t="s">
        <v>66</v>
      </c>
      <c r="J4" s="14" t="s">
        <v>67</v>
      </c>
      <c r="K4" s="14" t="s">
        <v>68</v>
      </c>
      <c r="L4" s="14" t="s">
        <v>69</v>
      </c>
      <c r="M4" s="14" t="s">
        <v>70</v>
      </c>
      <c r="N4" s="14" t="s">
        <v>71</v>
      </c>
      <c r="O4" s="14" t="s">
        <v>72</v>
      </c>
    </row>
    <row r="5" customFormat="false" ht="15" hidden="false" customHeight="false" outlineLevel="0" collapsed="false">
      <c r="A5" s="6"/>
      <c r="B5" s="6"/>
      <c r="C5" s="6"/>
      <c r="D5" s="16"/>
      <c r="E5" s="17" t="str">
        <f aca="false">IF(OR(C5="",D5=""),"",ROUND(C5/1000*D5,2))</f>
        <v/>
      </c>
      <c r="F5" s="6"/>
      <c r="G5" s="16" t="n">
        <v>1.2</v>
      </c>
      <c r="H5" s="17" t="str">
        <f aca="false">IF(OR(F5="",G5=""),"",ROUND(F5*G5,2))</f>
        <v/>
      </c>
      <c r="I5" s="6"/>
      <c r="J5" s="16" t="n">
        <v>25</v>
      </c>
      <c r="K5" s="17" t="str">
        <f aca="false">IF(OR(I5="",J5=""),"",ROUND(I5/60*J5,2))</f>
        <v/>
      </c>
      <c r="L5" s="16"/>
      <c r="M5" s="17" t="str">
        <f aca="false">IF(E5="","",E5+H5+K5+L5)</f>
        <v/>
      </c>
      <c r="N5" s="20" t="n">
        <v>0.4</v>
      </c>
      <c r="O5" s="17" t="str">
        <f aca="false">IF(OR(M5="",N5=""),"",ROUND(M5*(1+N5),2))</f>
        <v/>
      </c>
    </row>
    <row r="6" customFormat="false" ht="15" hidden="false" customHeight="false" outlineLevel="0" collapsed="false">
      <c r="A6" s="6"/>
      <c r="B6" s="6"/>
      <c r="C6" s="6"/>
      <c r="D6" s="16"/>
      <c r="E6" s="17" t="str">
        <f aca="false">IF(OR(C6="",D6=""),"",ROUND(C6/1000*D6,2))</f>
        <v/>
      </c>
      <c r="F6" s="6"/>
      <c r="G6" s="16" t="n">
        <v>1.2</v>
      </c>
      <c r="H6" s="17" t="str">
        <f aca="false">IF(OR(F6="",G6=""),"",ROUND(F6*G6,2))</f>
        <v/>
      </c>
      <c r="I6" s="6"/>
      <c r="J6" s="16" t="n">
        <v>25</v>
      </c>
      <c r="K6" s="17" t="str">
        <f aca="false">IF(OR(I6="",J6=""),"",ROUND(I6/60*J6,2))</f>
        <v/>
      </c>
      <c r="L6" s="16"/>
      <c r="M6" s="17" t="str">
        <f aca="false">IF(E6="","",E6+H6+K6+L6)</f>
        <v/>
      </c>
      <c r="N6" s="20" t="n">
        <v>0.4</v>
      </c>
      <c r="O6" s="17" t="str">
        <f aca="false">IF(OR(M6="",N6=""),"",ROUND(M6*(1+N6),2))</f>
        <v/>
      </c>
    </row>
    <row r="7" customFormat="false" ht="15" hidden="false" customHeight="false" outlineLevel="0" collapsed="false">
      <c r="A7" s="6"/>
      <c r="B7" s="6"/>
      <c r="C7" s="6"/>
      <c r="D7" s="16"/>
      <c r="E7" s="17" t="str">
        <f aca="false">IF(OR(C7="",D7=""),"",ROUND(C7/1000*D7,2))</f>
        <v/>
      </c>
      <c r="F7" s="6"/>
      <c r="G7" s="16" t="n">
        <v>1.2</v>
      </c>
      <c r="H7" s="17" t="str">
        <f aca="false">IF(OR(F7="",G7=""),"",ROUND(F7*G7,2))</f>
        <v/>
      </c>
      <c r="I7" s="6"/>
      <c r="J7" s="16" t="n">
        <v>25</v>
      </c>
      <c r="K7" s="17" t="str">
        <f aca="false">IF(OR(I7="",J7=""),"",ROUND(I7/60*J7,2))</f>
        <v/>
      </c>
      <c r="L7" s="16"/>
      <c r="M7" s="17" t="str">
        <f aca="false">IF(E7="","",E7+H7+K7+L7)</f>
        <v/>
      </c>
      <c r="N7" s="20" t="n">
        <v>0.4</v>
      </c>
      <c r="O7" s="17" t="str">
        <f aca="false">IF(OR(M7="",N7=""),"",ROUND(M7*(1+N7),2))</f>
        <v/>
      </c>
    </row>
    <row r="8" customFormat="false" ht="15" hidden="false" customHeight="false" outlineLevel="0" collapsed="false">
      <c r="A8" s="6"/>
      <c r="B8" s="6"/>
      <c r="C8" s="6"/>
      <c r="D8" s="16"/>
      <c r="E8" s="17" t="str">
        <f aca="false">IF(OR(C8="",D8=""),"",ROUND(C8/1000*D8,2))</f>
        <v/>
      </c>
      <c r="F8" s="6"/>
      <c r="G8" s="16" t="n">
        <v>1.2</v>
      </c>
      <c r="H8" s="17" t="str">
        <f aca="false">IF(OR(F8="",G8=""),"",ROUND(F8*G8,2))</f>
        <v/>
      </c>
      <c r="I8" s="6"/>
      <c r="J8" s="16" t="n">
        <v>25</v>
      </c>
      <c r="K8" s="17" t="str">
        <f aca="false">IF(OR(I8="",J8=""),"",ROUND(I8/60*J8,2))</f>
        <v/>
      </c>
      <c r="L8" s="16"/>
      <c r="M8" s="17" t="str">
        <f aca="false">IF(E8="","",E8+H8+K8+L8)</f>
        <v/>
      </c>
      <c r="N8" s="20" t="n">
        <v>0.4</v>
      </c>
      <c r="O8" s="17" t="str">
        <f aca="false">IF(OR(M8="",N8=""),"",ROUND(M8*(1+N8),2))</f>
        <v/>
      </c>
    </row>
    <row r="9" customFormat="false" ht="15" hidden="false" customHeight="false" outlineLevel="0" collapsed="false">
      <c r="A9" s="6"/>
      <c r="B9" s="6"/>
      <c r="C9" s="6"/>
      <c r="D9" s="16"/>
      <c r="E9" s="17" t="str">
        <f aca="false">IF(OR(C9="",D9=""),"",ROUND(C9/1000*D9,2))</f>
        <v/>
      </c>
      <c r="F9" s="6"/>
      <c r="G9" s="16" t="n">
        <v>1.2</v>
      </c>
      <c r="H9" s="17" t="str">
        <f aca="false">IF(OR(F9="",G9=""),"",ROUND(F9*G9,2))</f>
        <v/>
      </c>
      <c r="I9" s="6"/>
      <c r="J9" s="16" t="n">
        <v>25</v>
      </c>
      <c r="K9" s="17" t="str">
        <f aca="false">IF(OR(I9="",J9=""),"",ROUND(I9/60*J9,2))</f>
        <v/>
      </c>
      <c r="L9" s="16"/>
      <c r="M9" s="17" t="str">
        <f aca="false">IF(E9="","",E9+H9+K9+L9)</f>
        <v/>
      </c>
      <c r="N9" s="20" t="n">
        <v>0.4</v>
      </c>
      <c r="O9" s="17" t="str">
        <f aca="false">IF(OR(M9="",N9=""),"",ROUND(M9*(1+N9),2))</f>
        <v/>
      </c>
    </row>
    <row r="10" customFormat="false" ht="15" hidden="false" customHeight="false" outlineLevel="0" collapsed="false">
      <c r="A10" s="6"/>
      <c r="B10" s="6"/>
      <c r="C10" s="6"/>
      <c r="D10" s="16"/>
      <c r="E10" s="17" t="str">
        <f aca="false">IF(OR(C10="",D10=""),"",ROUND(C10/1000*D10,2))</f>
        <v/>
      </c>
      <c r="F10" s="6"/>
      <c r="G10" s="16" t="n">
        <v>1.2</v>
      </c>
      <c r="H10" s="17" t="str">
        <f aca="false">IF(OR(F10="",G10=""),"",ROUND(F10*G10,2))</f>
        <v/>
      </c>
      <c r="I10" s="6"/>
      <c r="J10" s="16" t="n">
        <v>25</v>
      </c>
      <c r="K10" s="17" t="str">
        <f aca="false">IF(OR(I10="",J10=""),"",ROUND(I10/60*J10,2))</f>
        <v/>
      </c>
      <c r="L10" s="16"/>
      <c r="M10" s="17" t="str">
        <f aca="false">IF(E10="","",E10+H10+K10+L10)</f>
        <v/>
      </c>
      <c r="N10" s="20" t="n">
        <v>0.4</v>
      </c>
      <c r="O10" s="17" t="str">
        <f aca="false">IF(OR(M10="",N10=""),"",ROUND(M10*(1+N10),2))</f>
        <v/>
      </c>
    </row>
    <row r="11" customFormat="false" ht="15" hidden="false" customHeight="false" outlineLevel="0" collapsed="false">
      <c r="A11" s="6"/>
      <c r="B11" s="6"/>
      <c r="C11" s="6"/>
      <c r="D11" s="16"/>
      <c r="E11" s="17" t="str">
        <f aca="false">IF(OR(C11="",D11=""),"",ROUND(C11/1000*D11,2))</f>
        <v/>
      </c>
      <c r="F11" s="6"/>
      <c r="G11" s="16" t="n">
        <v>1.2</v>
      </c>
      <c r="H11" s="17" t="str">
        <f aca="false">IF(OR(F11="",G11=""),"",ROUND(F11*G11,2))</f>
        <v/>
      </c>
      <c r="I11" s="6"/>
      <c r="J11" s="16" t="n">
        <v>25</v>
      </c>
      <c r="K11" s="17" t="str">
        <f aca="false">IF(OR(I11="",J11=""),"",ROUND(I11/60*J11,2))</f>
        <v/>
      </c>
      <c r="L11" s="16"/>
      <c r="M11" s="17" t="str">
        <f aca="false">IF(E11="","",E11+H11+K11+L11)</f>
        <v/>
      </c>
      <c r="N11" s="20" t="n">
        <v>0.4</v>
      </c>
      <c r="O11" s="17" t="str">
        <f aca="false">IF(OR(M11="",N11=""),"",ROUND(M11*(1+N11),2))</f>
        <v/>
      </c>
    </row>
    <row r="12" customFormat="false" ht="15" hidden="false" customHeight="false" outlineLevel="0" collapsed="false">
      <c r="A12" s="6"/>
      <c r="B12" s="6"/>
      <c r="C12" s="6"/>
      <c r="D12" s="16"/>
      <c r="E12" s="17" t="str">
        <f aca="false">IF(OR(C12="",D12=""),"",ROUND(C12/1000*D12,2))</f>
        <v/>
      </c>
      <c r="F12" s="6"/>
      <c r="G12" s="16" t="n">
        <v>1.2</v>
      </c>
      <c r="H12" s="17" t="str">
        <f aca="false">IF(OR(F12="",G12=""),"",ROUND(F12*G12,2))</f>
        <v/>
      </c>
      <c r="I12" s="6"/>
      <c r="J12" s="16" t="n">
        <v>25</v>
      </c>
      <c r="K12" s="17" t="str">
        <f aca="false">IF(OR(I12="",J12=""),"",ROUND(I12/60*J12,2))</f>
        <v/>
      </c>
      <c r="L12" s="16"/>
      <c r="M12" s="17" t="str">
        <f aca="false">IF(E12="","",E12+H12+K12+L12)</f>
        <v/>
      </c>
      <c r="N12" s="20" t="n">
        <v>0.4</v>
      </c>
      <c r="O12" s="17" t="str">
        <f aca="false">IF(OR(M12="",N12=""),"",ROUND(M12*(1+N12),2))</f>
        <v/>
      </c>
    </row>
    <row r="13" customFormat="false" ht="15" hidden="false" customHeight="false" outlineLevel="0" collapsed="false">
      <c r="A13" s="6"/>
      <c r="B13" s="6"/>
      <c r="C13" s="6"/>
      <c r="D13" s="16"/>
      <c r="E13" s="17" t="str">
        <f aca="false">IF(OR(C13="",D13=""),"",ROUND(C13/1000*D13,2))</f>
        <v/>
      </c>
      <c r="F13" s="6"/>
      <c r="G13" s="16" t="n">
        <v>1.2</v>
      </c>
      <c r="H13" s="17" t="str">
        <f aca="false">IF(OR(F13="",G13=""),"",ROUND(F13*G13,2))</f>
        <v/>
      </c>
      <c r="I13" s="6"/>
      <c r="J13" s="16" t="n">
        <v>25</v>
      </c>
      <c r="K13" s="17" t="str">
        <f aca="false">IF(OR(I13="",J13=""),"",ROUND(I13/60*J13,2))</f>
        <v/>
      </c>
      <c r="L13" s="16"/>
      <c r="M13" s="17" t="str">
        <f aca="false">IF(E13="","",E13+H13+K13+L13)</f>
        <v/>
      </c>
      <c r="N13" s="20" t="n">
        <v>0.4</v>
      </c>
      <c r="O13" s="17" t="str">
        <f aca="false">IF(OR(M13="",N13=""),"",ROUND(M13*(1+N13),2))</f>
        <v/>
      </c>
    </row>
    <row r="14" customFormat="false" ht="15" hidden="false" customHeight="false" outlineLevel="0" collapsed="false">
      <c r="A14" s="6"/>
      <c r="B14" s="6"/>
      <c r="C14" s="6"/>
      <c r="D14" s="16"/>
      <c r="E14" s="17" t="str">
        <f aca="false">IF(OR(C14="",D14=""),"",ROUND(C14/1000*D14,2))</f>
        <v/>
      </c>
      <c r="F14" s="6"/>
      <c r="G14" s="16" t="n">
        <v>1.2</v>
      </c>
      <c r="H14" s="17" t="str">
        <f aca="false">IF(OR(F14="",G14=""),"",ROUND(F14*G14,2))</f>
        <v/>
      </c>
      <c r="I14" s="6"/>
      <c r="J14" s="16" t="n">
        <v>25</v>
      </c>
      <c r="K14" s="17" t="str">
        <f aca="false">IF(OR(I14="",J14=""),"",ROUND(I14/60*J14,2))</f>
        <v/>
      </c>
      <c r="L14" s="16"/>
      <c r="M14" s="17" t="str">
        <f aca="false">IF(E14="","",E14+H14+K14+L14)</f>
        <v/>
      </c>
      <c r="N14" s="20" t="n">
        <v>0.4</v>
      </c>
      <c r="O14" s="17" t="str">
        <f aca="false">IF(OR(M14="",N14=""),"",ROUND(M14*(1+N14),2))</f>
        <v/>
      </c>
    </row>
    <row r="15" customFormat="false" ht="15" hidden="false" customHeight="false" outlineLevel="0" collapsed="false">
      <c r="A15" s="6"/>
      <c r="B15" s="6"/>
      <c r="C15" s="6"/>
      <c r="D15" s="16"/>
      <c r="E15" s="17" t="str">
        <f aca="false">IF(OR(C15="",D15=""),"",ROUND(C15/1000*D15,2))</f>
        <v/>
      </c>
      <c r="F15" s="6"/>
      <c r="G15" s="16" t="n">
        <v>1.2</v>
      </c>
      <c r="H15" s="17" t="str">
        <f aca="false">IF(OR(F15="",G15=""),"",ROUND(F15*G15,2))</f>
        <v/>
      </c>
      <c r="I15" s="6"/>
      <c r="J15" s="16" t="n">
        <v>25</v>
      </c>
      <c r="K15" s="17" t="str">
        <f aca="false">IF(OR(I15="",J15=""),"",ROUND(I15/60*J15,2))</f>
        <v/>
      </c>
      <c r="L15" s="16"/>
      <c r="M15" s="17" t="str">
        <f aca="false">IF(E15="","",E15+H15+K15+L15)</f>
        <v/>
      </c>
      <c r="N15" s="20" t="n">
        <v>0.4</v>
      </c>
      <c r="O15" s="17" t="str">
        <f aca="false">IF(OR(M15="",N15=""),"",ROUND(M15*(1+N15),2))</f>
        <v/>
      </c>
    </row>
    <row r="16" customFormat="false" ht="15" hidden="false" customHeight="false" outlineLevel="0" collapsed="false">
      <c r="A16" s="6"/>
      <c r="B16" s="6"/>
      <c r="C16" s="6"/>
      <c r="D16" s="16"/>
      <c r="E16" s="17" t="str">
        <f aca="false">IF(OR(C16="",D16=""),"",ROUND(C16/1000*D16,2))</f>
        <v/>
      </c>
      <c r="F16" s="6"/>
      <c r="G16" s="16" t="n">
        <v>1.2</v>
      </c>
      <c r="H16" s="17" t="str">
        <f aca="false">IF(OR(F16="",G16=""),"",ROUND(F16*G16,2))</f>
        <v/>
      </c>
      <c r="I16" s="6"/>
      <c r="J16" s="16" t="n">
        <v>25</v>
      </c>
      <c r="K16" s="17" t="str">
        <f aca="false">IF(OR(I16="",J16=""),"",ROUND(I16/60*J16,2))</f>
        <v/>
      </c>
      <c r="L16" s="16"/>
      <c r="M16" s="17" t="str">
        <f aca="false">IF(E16="","",E16+H16+K16+L16)</f>
        <v/>
      </c>
      <c r="N16" s="20" t="n">
        <v>0.4</v>
      </c>
      <c r="O16" s="17" t="str">
        <f aca="false">IF(OR(M16="",N16=""),"",ROUND(M16*(1+N16),2))</f>
        <v/>
      </c>
    </row>
    <row r="17" customFormat="false" ht="15" hidden="false" customHeight="false" outlineLevel="0" collapsed="false">
      <c r="A17" s="6"/>
      <c r="B17" s="6"/>
      <c r="C17" s="6"/>
      <c r="D17" s="16"/>
      <c r="E17" s="17" t="str">
        <f aca="false">IF(OR(C17="",D17=""),"",ROUND(C17/1000*D17,2))</f>
        <v/>
      </c>
      <c r="F17" s="6"/>
      <c r="G17" s="16" t="n">
        <v>1.2</v>
      </c>
      <c r="H17" s="17" t="str">
        <f aca="false">IF(OR(F17="",G17=""),"",ROUND(F17*G17,2))</f>
        <v/>
      </c>
      <c r="I17" s="6"/>
      <c r="J17" s="16" t="n">
        <v>25</v>
      </c>
      <c r="K17" s="17" t="str">
        <f aca="false">IF(OR(I17="",J17=""),"",ROUND(I17/60*J17,2))</f>
        <v/>
      </c>
      <c r="L17" s="16"/>
      <c r="M17" s="17" t="str">
        <f aca="false">IF(E17="","",E17+H17+K17+L17)</f>
        <v/>
      </c>
      <c r="N17" s="20" t="n">
        <v>0.4</v>
      </c>
      <c r="O17" s="17" t="str">
        <f aca="false">IF(OR(M17="",N17=""),"",ROUND(M17*(1+N17),2))</f>
        <v/>
      </c>
    </row>
    <row r="18" customFormat="false" ht="15" hidden="false" customHeight="false" outlineLevel="0" collapsed="false">
      <c r="A18" s="6"/>
      <c r="B18" s="6"/>
      <c r="C18" s="6"/>
      <c r="D18" s="16"/>
      <c r="E18" s="17" t="str">
        <f aca="false">IF(OR(C18="",D18=""),"",ROUND(C18/1000*D18,2))</f>
        <v/>
      </c>
      <c r="F18" s="6"/>
      <c r="G18" s="16" t="n">
        <v>1.2</v>
      </c>
      <c r="H18" s="17" t="str">
        <f aca="false">IF(OR(F18="",G18=""),"",ROUND(F18*G18,2))</f>
        <v/>
      </c>
      <c r="I18" s="6"/>
      <c r="J18" s="16" t="n">
        <v>25</v>
      </c>
      <c r="K18" s="17" t="str">
        <f aca="false">IF(OR(I18="",J18=""),"",ROUND(I18/60*J18,2))</f>
        <v/>
      </c>
      <c r="L18" s="16"/>
      <c r="M18" s="17" t="str">
        <f aca="false">IF(E18="","",E18+H18+K18+L18)</f>
        <v/>
      </c>
      <c r="N18" s="20" t="n">
        <v>0.4</v>
      </c>
      <c r="O18" s="17" t="str">
        <f aca="false">IF(OR(M18="",N18=""),"",ROUND(M18*(1+N18),2))</f>
        <v/>
      </c>
    </row>
    <row r="19" customFormat="false" ht="15" hidden="false" customHeight="false" outlineLevel="0" collapsed="false">
      <c r="A19" s="6"/>
      <c r="B19" s="6"/>
      <c r="C19" s="6"/>
      <c r="D19" s="16"/>
      <c r="E19" s="17" t="str">
        <f aca="false">IF(OR(C19="",D19=""),"",ROUND(C19/1000*D19,2))</f>
        <v/>
      </c>
      <c r="F19" s="6"/>
      <c r="G19" s="16" t="n">
        <v>1.2</v>
      </c>
      <c r="H19" s="17" t="str">
        <f aca="false">IF(OR(F19="",G19=""),"",ROUND(F19*G19,2))</f>
        <v/>
      </c>
      <c r="I19" s="6"/>
      <c r="J19" s="16" t="n">
        <v>25</v>
      </c>
      <c r="K19" s="17" t="str">
        <f aca="false">IF(OR(I19="",J19=""),"",ROUND(I19/60*J19,2))</f>
        <v/>
      </c>
      <c r="L19" s="16"/>
      <c r="M19" s="17" t="str">
        <f aca="false">IF(E19="","",E19+H19+K19+L19)</f>
        <v/>
      </c>
      <c r="N19" s="20" t="n">
        <v>0.4</v>
      </c>
      <c r="O19" s="17" t="str">
        <f aca="false">IF(OR(M19="",N19=""),"",ROUND(M19*(1+N19),2))</f>
        <v/>
      </c>
    </row>
    <row r="20" customFormat="false" ht="15" hidden="false" customHeight="false" outlineLevel="0" collapsed="false">
      <c r="A20" s="6"/>
      <c r="B20" s="6"/>
      <c r="C20" s="6"/>
      <c r="D20" s="16"/>
      <c r="E20" s="17" t="str">
        <f aca="false">IF(OR(C20="",D20=""),"",ROUND(C20/1000*D20,2))</f>
        <v/>
      </c>
      <c r="F20" s="6"/>
      <c r="G20" s="16" t="n">
        <v>1.2</v>
      </c>
      <c r="H20" s="17" t="str">
        <f aca="false">IF(OR(F20="",G20=""),"",ROUND(F20*G20,2))</f>
        <v/>
      </c>
      <c r="I20" s="6"/>
      <c r="J20" s="16" t="n">
        <v>25</v>
      </c>
      <c r="K20" s="17" t="str">
        <f aca="false">IF(OR(I20="",J20=""),"",ROUND(I20/60*J20,2))</f>
        <v/>
      </c>
      <c r="L20" s="16"/>
      <c r="M20" s="17" t="str">
        <f aca="false">IF(E20="","",E20+H20+K20+L20)</f>
        <v/>
      </c>
      <c r="N20" s="20" t="n">
        <v>0.4</v>
      </c>
      <c r="O20" s="17" t="str">
        <f aca="false">IF(OR(M20="",N20=""),"",ROUND(M20*(1+N20),2))</f>
        <v/>
      </c>
    </row>
    <row r="21" customFormat="false" ht="15" hidden="false" customHeight="false" outlineLevel="0" collapsed="false">
      <c r="A21" s="6"/>
      <c r="B21" s="6"/>
      <c r="C21" s="6"/>
      <c r="D21" s="16"/>
      <c r="E21" s="17" t="str">
        <f aca="false">IF(OR(C21="",D21=""),"",ROUND(C21/1000*D21,2))</f>
        <v/>
      </c>
      <c r="F21" s="6"/>
      <c r="G21" s="16" t="n">
        <v>1.2</v>
      </c>
      <c r="H21" s="17" t="str">
        <f aca="false">IF(OR(F21="",G21=""),"",ROUND(F21*G21,2))</f>
        <v/>
      </c>
      <c r="I21" s="6"/>
      <c r="J21" s="16" t="n">
        <v>25</v>
      </c>
      <c r="K21" s="17" t="str">
        <f aca="false">IF(OR(I21="",J21=""),"",ROUND(I21/60*J21,2))</f>
        <v/>
      </c>
      <c r="L21" s="16"/>
      <c r="M21" s="17" t="str">
        <f aca="false">IF(E21="","",E21+H21+K21+L21)</f>
        <v/>
      </c>
      <c r="N21" s="20" t="n">
        <v>0.4</v>
      </c>
      <c r="O21" s="17" t="str">
        <f aca="false">IF(OR(M21="",N21=""),"",ROUND(M21*(1+N21),2))</f>
        <v/>
      </c>
    </row>
    <row r="22" customFormat="false" ht="15" hidden="false" customHeight="false" outlineLevel="0" collapsed="false">
      <c r="A22" s="6"/>
      <c r="B22" s="6"/>
      <c r="C22" s="6"/>
      <c r="D22" s="16"/>
      <c r="E22" s="17" t="str">
        <f aca="false">IF(OR(C22="",D22=""),"",ROUND(C22/1000*D22,2))</f>
        <v/>
      </c>
      <c r="F22" s="6"/>
      <c r="G22" s="16" t="n">
        <v>1.2</v>
      </c>
      <c r="H22" s="17" t="str">
        <f aca="false">IF(OR(F22="",G22=""),"",ROUND(F22*G22,2))</f>
        <v/>
      </c>
      <c r="I22" s="6"/>
      <c r="J22" s="16" t="n">
        <v>25</v>
      </c>
      <c r="K22" s="17" t="str">
        <f aca="false">IF(OR(I22="",J22=""),"",ROUND(I22/60*J22,2))</f>
        <v/>
      </c>
      <c r="L22" s="16"/>
      <c r="M22" s="17" t="str">
        <f aca="false">IF(E22="","",E22+H22+K22+L22)</f>
        <v/>
      </c>
      <c r="N22" s="20" t="n">
        <v>0.4</v>
      </c>
      <c r="O22" s="17" t="str">
        <f aca="false">IF(OR(M22="",N22=""),"",ROUND(M22*(1+N22),2))</f>
        <v/>
      </c>
    </row>
    <row r="23" customFormat="false" ht="15" hidden="false" customHeight="false" outlineLevel="0" collapsed="false">
      <c r="A23" s="6"/>
      <c r="B23" s="6"/>
      <c r="C23" s="6"/>
      <c r="D23" s="16"/>
      <c r="E23" s="17" t="str">
        <f aca="false">IF(OR(C23="",D23=""),"",ROUND(C23/1000*D23,2))</f>
        <v/>
      </c>
      <c r="F23" s="6"/>
      <c r="G23" s="16" t="n">
        <v>1.2</v>
      </c>
      <c r="H23" s="17" t="str">
        <f aca="false">IF(OR(F23="",G23=""),"",ROUND(F23*G23,2))</f>
        <v/>
      </c>
      <c r="I23" s="6"/>
      <c r="J23" s="16" t="n">
        <v>25</v>
      </c>
      <c r="K23" s="17" t="str">
        <f aca="false">IF(OR(I23="",J23=""),"",ROUND(I23/60*J23,2))</f>
        <v/>
      </c>
      <c r="L23" s="16"/>
      <c r="M23" s="17" t="str">
        <f aca="false">IF(E23="","",E23+H23+K23+L23)</f>
        <v/>
      </c>
      <c r="N23" s="20" t="n">
        <v>0.4</v>
      </c>
      <c r="O23" s="17" t="str">
        <f aca="false">IF(OR(M23="",N23=""),"",ROUND(M23*(1+N23),2))</f>
        <v/>
      </c>
    </row>
    <row r="24" customFormat="false" ht="15" hidden="false" customHeight="false" outlineLevel="0" collapsed="false">
      <c r="A24" s="6"/>
      <c r="B24" s="6"/>
      <c r="C24" s="6"/>
      <c r="D24" s="16"/>
      <c r="E24" s="17" t="str">
        <f aca="false">IF(OR(C24="",D24=""),"",ROUND(C24/1000*D24,2))</f>
        <v/>
      </c>
      <c r="F24" s="6"/>
      <c r="G24" s="16" t="n">
        <v>1.2</v>
      </c>
      <c r="H24" s="17" t="str">
        <f aca="false">IF(OR(F24="",G24=""),"",ROUND(F24*G24,2))</f>
        <v/>
      </c>
      <c r="I24" s="6"/>
      <c r="J24" s="16" t="n">
        <v>25</v>
      </c>
      <c r="K24" s="17" t="str">
        <f aca="false">IF(OR(I24="",J24=""),"",ROUND(I24/60*J24,2))</f>
        <v/>
      </c>
      <c r="L24" s="16"/>
      <c r="M24" s="17" t="str">
        <f aca="false">IF(E24="","",E24+H24+K24+L24)</f>
        <v/>
      </c>
      <c r="N24" s="20" t="n">
        <v>0.4</v>
      </c>
      <c r="O24" s="17" t="str">
        <f aca="false">IF(OR(M24="",N24=""),"",ROUND(M24*(1+N24),2))</f>
        <v/>
      </c>
    </row>
    <row r="25" customFormat="false" ht="15" hidden="false" customHeight="false" outlineLevel="0" collapsed="false">
      <c r="A25" s="6"/>
      <c r="B25" s="6"/>
      <c r="C25" s="6"/>
      <c r="D25" s="16"/>
      <c r="E25" s="17" t="str">
        <f aca="false">IF(OR(C25="",D25=""),"",ROUND(C25/1000*D25,2))</f>
        <v/>
      </c>
      <c r="F25" s="6"/>
      <c r="G25" s="16" t="n">
        <v>1.2</v>
      </c>
      <c r="H25" s="17" t="str">
        <f aca="false">IF(OR(F25="",G25=""),"",ROUND(F25*G25,2))</f>
        <v/>
      </c>
      <c r="I25" s="6"/>
      <c r="J25" s="16" t="n">
        <v>25</v>
      </c>
      <c r="K25" s="17" t="str">
        <f aca="false">IF(OR(I25="",J25=""),"",ROUND(I25/60*J25,2))</f>
        <v/>
      </c>
      <c r="L25" s="16"/>
      <c r="M25" s="17" t="str">
        <f aca="false">IF(E25="","",E25+H25+K25+L25)</f>
        <v/>
      </c>
      <c r="N25" s="20" t="n">
        <v>0.4</v>
      </c>
      <c r="O25" s="17" t="str">
        <f aca="false">IF(OR(M25="",N25=""),"",ROUND(M25*(1+N25),2))</f>
        <v/>
      </c>
    </row>
    <row r="26" customFormat="false" ht="15" hidden="false" customHeight="false" outlineLevel="0" collapsed="false">
      <c r="A26" s="6"/>
      <c r="B26" s="6"/>
      <c r="C26" s="6"/>
      <c r="D26" s="16"/>
      <c r="E26" s="17" t="str">
        <f aca="false">IF(OR(C26="",D26=""),"",ROUND(C26/1000*D26,2))</f>
        <v/>
      </c>
      <c r="F26" s="6"/>
      <c r="G26" s="16" t="n">
        <v>1.2</v>
      </c>
      <c r="H26" s="17" t="str">
        <f aca="false">IF(OR(F26="",G26=""),"",ROUND(F26*G26,2))</f>
        <v/>
      </c>
      <c r="I26" s="6"/>
      <c r="J26" s="16" t="n">
        <v>25</v>
      </c>
      <c r="K26" s="17" t="str">
        <f aca="false">IF(OR(I26="",J26=""),"",ROUND(I26/60*J26,2))</f>
        <v/>
      </c>
      <c r="L26" s="16"/>
      <c r="M26" s="17" t="str">
        <f aca="false">IF(E26="","",E26+H26+K26+L26)</f>
        <v/>
      </c>
      <c r="N26" s="20" t="n">
        <v>0.4</v>
      </c>
      <c r="O26" s="17" t="str">
        <f aca="false">IF(OR(M26="",N26=""),"",ROUND(M26*(1+N26),2))</f>
        <v/>
      </c>
    </row>
    <row r="27" customFormat="false" ht="15" hidden="false" customHeight="false" outlineLevel="0" collapsed="false">
      <c r="A27" s="6"/>
      <c r="B27" s="6"/>
      <c r="C27" s="6"/>
      <c r="D27" s="16"/>
      <c r="E27" s="17" t="str">
        <f aca="false">IF(OR(C27="",D27=""),"",ROUND(C27/1000*D27,2))</f>
        <v/>
      </c>
      <c r="F27" s="6"/>
      <c r="G27" s="16" t="n">
        <v>1.2</v>
      </c>
      <c r="H27" s="17" t="str">
        <f aca="false">IF(OR(F27="",G27=""),"",ROUND(F27*G27,2))</f>
        <v/>
      </c>
      <c r="I27" s="6"/>
      <c r="J27" s="16" t="n">
        <v>25</v>
      </c>
      <c r="K27" s="17" t="str">
        <f aca="false">IF(OR(I27="",J27=""),"",ROUND(I27/60*J27,2))</f>
        <v/>
      </c>
      <c r="L27" s="16"/>
      <c r="M27" s="17" t="str">
        <f aca="false">IF(E27="","",E27+H27+K27+L27)</f>
        <v/>
      </c>
      <c r="N27" s="20" t="n">
        <v>0.4</v>
      </c>
      <c r="O27" s="17" t="str">
        <f aca="false">IF(OR(M27="",N27=""),"",ROUND(M27*(1+N27),2))</f>
        <v/>
      </c>
    </row>
    <row r="28" customFormat="false" ht="15" hidden="false" customHeight="false" outlineLevel="0" collapsed="false">
      <c r="A28" s="6"/>
      <c r="B28" s="6"/>
      <c r="C28" s="6"/>
      <c r="D28" s="16"/>
      <c r="E28" s="17" t="str">
        <f aca="false">IF(OR(C28="",D28=""),"",ROUND(C28/1000*D28,2))</f>
        <v/>
      </c>
      <c r="F28" s="6"/>
      <c r="G28" s="16" t="n">
        <v>1.2</v>
      </c>
      <c r="H28" s="17" t="str">
        <f aca="false">IF(OR(F28="",G28=""),"",ROUND(F28*G28,2))</f>
        <v/>
      </c>
      <c r="I28" s="6"/>
      <c r="J28" s="16" t="n">
        <v>25</v>
      </c>
      <c r="K28" s="17" t="str">
        <f aca="false">IF(OR(I28="",J28=""),"",ROUND(I28/60*J28,2))</f>
        <v/>
      </c>
      <c r="L28" s="16"/>
      <c r="M28" s="17" t="str">
        <f aca="false">IF(E28="","",E28+H28+K28+L28)</f>
        <v/>
      </c>
      <c r="N28" s="20" t="n">
        <v>0.4</v>
      </c>
      <c r="O28" s="17" t="str">
        <f aca="false">IF(OR(M28="",N28=""),"",ROUND(M28*(1+N28),2))</f>
        <v/>
      </c>
    </row>
    <row r="29" customFormat="false" ht="15" hidden="false" customHeight="false" outlineLevel="0" collapsed="false">
      <c r="A29" s="6"/>
      <c r="B29" s="6"/>
      <c r="C29" s="6"/>
      <c r="D29" s="16"/>
      <c r="E29" s="17" t="str">
        <f aca="false">IF(OR(C29="",D29=""),"",ROUND(C29/1000*D29,2))</f>
        <v/>
      </c>
      <c r="F29" s="6"/>
      <c r="G29" s="16" t="n">
        <v>1.2</v>
      </c>
      <c r="H29" s="17" t="str">
        <f aca="false">IF(OR(F29="",G29=""),"",ROUND(F29*G29,2))</f>
        <v/>
      </c>
      <c r="I29" s="6"/>
      <c r="J29" s="16" t="n">
        <v>25</v>
      </c>
      <c r="K29" s="17" t="str">
        <f aca="false">IF(OR(I29="",J29=""),"",ROUND(I29/60*J29,2))</f>
        <v/>
      </c>
      <c r="L29" s="16"/>
      <c r="M29" s="17" t="str">
        <f aca="false">IF(E29="","",E29+H29+K29+L29)</f>
        <v/>
      </c>
      <c r="N29" s="20" t="n">
        <v>0.4</v>
      </c>
      <c r="O29" s="17" t="str">
        <f aca="false">IF(OR(M29="",N29=""),"",ROUND(M29*(1+N29),2))</f>
        <v/>
      </c>
    </row>
    <row r="30" customFormat="false" ht="15" hidden="false" customHeight="false" outlineLevel="0" collapsed="false">
      <c r="A30" s="6"/>
      <c r="B30" s="6"/>
      <c r="C30" s="6"/>
      <c r="D30" s="16"/>
      <c r="E30" s="17" t="str">
        <f aca="false">IF(OR(C30="",D30=""),"",ROUND(C30/1000*D30,2))</f>
        <v/>
      </c>
      <c r="F30" s="6"/>
      <c r="G30" s="16" t="n">
        <v>1.2</v>
      </c>
      <c r="H30" s="17" t="str">
        <f aca="false">IF(OR(F30="",G30=""),"",ROUND(F30*G30,2))</f>
        <v/>
      </c>
      <c r="I30" s="6"/>
      <c r="J30" s="16" t="n">
        <v>25</v>
      </c>
      <c r="K30" s="17" t="str">
        <f aca="false">IF(OR(I30="",J30=""),"",ROUND(I30/60*J30,2))</f>
        <v/>
      </c>
      <c r="L30" s="16"/>
      <c r="M30" s="17" t="str">
        <f aca="false">IF(E30="","",E30+H30+K30+L30)</f>
        <v/>
      </c>
      <c r="N30" s="20" t="n">
        <v>0.4</v>
      </c>
      <c r="O30" s="17" t="str">
        <f aca="false">IF(OR(M30="",N30=""),"",ROUND(M30*(1+N30),2))</f>
        <v/>
      </c>
    </row>
    <row r="31" customFormat="false" ht="15" hidden="false" customHeight="false" outlineLevel="0" collapsed="false">
      <c r="A31" s="6"/>
      <c r="B31" s="6"/>
      <c r="C31" s="6"/>
      <c r="D31" s="16"/>
      <c r="E31" s="17" t="str">
        <f aca="false">IF(OR(C31="",D31=""),"",ROUND(C31/1000*D31,2))</f>
        <v/>
      </c>
      <c r="F31" s="6"/>
      <c r="G31" s="16" t="n">
        <v>1.2</v>
      </c>
      <c r="H31" s="17" t="str">
        <f aca="false">IF(OR(F31="",G31=""),"",ROUND(F31*G31,2))</f>
        <v/>
      </c>
      <c r="I31" s="6"/>
      <c r="J31" s="16" t="n">
        <v>25</v>
      </c>
      <c r="K31" s="17" t="str">
        <f aca="false">IF(OR(I31="",J31=""),"",ROUND(I31/60*J31,2))</f>
        <v/>
      </c>
      <c r="L31" s="16"/>
      <c r="M31" s="17" t="str">
        <f aca="false">IF(E31="","",E31+H31+K31+L31)</f>
        <v/>
      </c>
      <c r="N31" s="20" t="n">
        <v>0.4</v>
      </c>
      <c r="O31" s="17" t="str">
        <f aca="false">IF(OR(M31="",N31=""),"",ROUND(M31*(1+N31),2))</f>
        <v/>
      </c>
    </row>
    <row r="32" customFormat="false" ht="15" hidden="false" customHeight="false" outlineLevel="0" collapsed="false">
      <c r="A32" s="6"/>
      <c r="B32" s="6"/>
      <c r="C32" s="6"/>
      <c r="D32" s="16"/>
      <c r="E32" s="17" t="str">
        <f aca="false">IF(OR(C32="",D32=""),"",ROUND(C32/1000*D32,2))</f>
        <v/>
      </c>
      <c r="F32" s="6"/>
      <c r="G32" s="16" t="n">
        <v>1.2</v>
      </c>
      <c r="H32" s="17" t="str">
        <f aca="false">IF(OR(F32="",G32=""),"",ROUND(F32*G32,2))</f>
        <v/>
      </c>
      <c r="I32" s="6"/>
      <c r="J32" s="16" t="n">
        <v>25</v>
      </c>
      <c r="K32" s="17" t="str">
        <f aca="false">IF(OR(I32="",J32=""),"",ROUND(I32/60*J32,2))</f>
        <v/>
      </c>
      <c r="L32" s="16"/>
      <c r="M32" s="17" t="str">
        <f aca="false">IF(E32="","",E32+H32+K32+L32)</f>
        <v/>
      </c>
      <c r="N32" s="20" t="n">
        <v>0.4</v>
      </c>
      <c r="O32" s="17" t="str">
        <f aca="false">IF(OR(M32="",N32=""),"",ROUND(M32*(1+N32),2))</f>
        <v/>
      </c>
    </row>
    <row r="33" customFormat="false" ht="15" hidden="false" customHeight="false" outlineLevel="0" collapsed="false">
      <c r="A33" s="6"/>
      <c r="B33" s="6"/>
      <c r="C33" s="6"/>
      <c r="D33" s="16"/>
      <c r="E33" s="17" t="str">
        <f aca="false">IF(OR(C33="",D33=""),"",ROUND(C33/1000*D33,2))</f>
        <v/>
      </c>
      <c r="F33" s="6"/>
      <c r="G33" s="16" t="n">
        <v>1.2</v>
      </c>
      <c r="H33" s="17" t="str">
        <f aca="false">IF(OR(F33="",G33=""),"",ROUND(F33*G33,2))</f>
        <v/>
      </c>
      <c r="I33" s="6"/>
      <c r="J33" s="16" t="n">
        <v>25</v>
      </c>
      <c r="K33" s="17" t="str">
        <f aca="false">IF(OR(I33="",J33=""),"",ROUND(I33/60*J33,2))</f>
        <v/>
      </c>
      <c r="L33" s="16"/>
      <c r="M33" s="17" t="str">
        <f aca="false">IF(E33="","",E33+H33+K33+L33)</f>
        <v/>
      </c>
      <c r="N33" s="20" t="n">
        <v>0.4</v>
      </c>
      <c r="O33" s="17" t="str">
        <f aca="false">IF(OR(M33="",N33=""),"",ROUND(M33*(1+N33),2))</f>
        <v/>
      </c>
    </row>
    <row r="34" customFormat="false" ht="15" hidden="false" customHeight="false" outlineLevel="0" collapsed="false">
      <c r="A34" s="6"/>
      <c r="B34" s="6"/>
      <c r="C34" s="6"/>
      <c r="D34" s="16"/>
      <c r="E34" s="17" t="str">
        <f aca="false">IF(OR(C34="",D34=""),"",ROUND(C34/1000*D34,2))</f>
        <v/>
      </c>
      <c r="F34" s="6"/>
      <c r="G34" s="16" t="n">
        <v>1.2</v>
      </c>
      <c r="H34" s="17" t="str">
        <f aca="false">IF(OR(F34="",G34=""),"",ROUND(F34*G34,2))</f>
        <v/>
      </c>
      <c r="I34" s="6"/>
      <c r="J34" s="16" t="n">
        <v>25</v>
      </c>
      <c r="K34" s="17" t="str">
        <f aca="false">IF(OR(I34="",J34=""),"",ROUND(I34/60*J34,2))</f>
        <v/>
      </c>
      <c r="L34" s="16"/>
      <c r="M34" s="17" t="str">
        <f aca="false">IF(E34="","",E34+H34+K34+L34)</f>
        <v/>
      </c>
      <c r="N34" s="20" t="n">
        <v>0.4</v>
      </c>
      <c r="O34" s="17" t="str">
        <f aca="false">IF(OR(M34="",N34=""),"",ROUND(M34*(1+N34),2))</f>
        <v/>
      </c>
    </row>
    <row r="35" customFormat="false" ht="15" hidden="false" customHeight="false" outlineLevel="0" collapsed="false">
      <c r="A35" s="6"/>
      <c r="B35" s="6"/>
      <c r="C35" s="6"/>
      <c r="D35" s="16"/>
      <c r="E35" s="17" t="str">
        <f aca="false">IF(OR(C35="",D35=""),"",ROUND(C35/1000*D35,2))</f>
        <v/>
      </c>
      <c r="F35" s="6"/>
      <c r="G35" s="16" t="n">
        <v>1.2</v>
      </c>
      <c r="H35" s="17" t="str">
        <f aca="false">IF(OR(F35="",G35=""),"",ROUND(F35*G35,2))</f>
        <v/>
      </c>
      <c r="I35" s="6"/>
      <c r="J35" s="16" t="n">
        <v>25</v>
      </c>
      <c r="K35" s="17" t="str">
        <f aca="false">IF(OR(I35="",J35=""),"",ROUND(I35/60*J35,2))</f>
        <v/>
      </c>
      <c r="L35" s="16"/>
      <c r="M35" s="17" t="str">
        <f aca="false">IF(E35="","",E35+H35+K35+L35)</f>
        <v/>
      </c>
      <c r="N35" s="20" t="n">
        <v>0.4</v>
      </c>
      <c r="O35" s="17" t="str">
        <f aca="false">IF(OR(M35="",N35=""),"",ROUND(M35*(1+N35),2))</f>
        <v/>
      </c>
    </row>
    <row r="36" customFormat="false" ht="15" hidden="false" customHeight="false" outlineLevel="0" collapsed="false">
      <c r="A36" s="6"/>
      <c r="B36" s="6"/>
      <c r="C36" s="6"/>
      <c r="D36" s="16"/>
      <c r="E36" s="17" t="str">
        <f aca="false">IF(OR(C36="",D36=""),"",ROUND(C36/1000*D36,2))</f>
        <v/>
      </c>
      <c r="F36" s="6"/>
      <c r="G36" s="16" t="n">
        <v>1.2</v>
      </c>
      <c r="H36" s="17" t="str">
        <f aca="false">IF(OR(F36="",G36=""),"",ROUND(F36*G36,2))</f>
        <v/>
      </c>
      <c r="I36" s="6"/>
      <c r="J36" s="16" t="n">
        <v>25</v>
      </c>
      <c r="K36" s="17" t="str">
        <f aca="false">IF(OR(I36="",J36=""),"",ROUND(I36/60*J36,2))</f>
        <v/>
      </c>
      <c r="L36" s="16"/>
      <c r="M36" s="17" t="str">
        <f aca="false">IF(E36="","",E36+H36+K36+L36)</f>
        <v/>
      </c>
      <c r="N36" s="20" t="n">
        <v>0.4</v>
      </c>
      <c r="O36" s="17" t="str">
        <f aca="false">IF(OR(M36="",N36=""),"",ROUND(M36*(1+N36),2))</f>
        <v/>
      </c>
    </row>
    <row r="37" customFormat="false" ht="15" hidden="false" customHeight="false" outlineLevel="0" collapsed="false">
      <c r="A37" s="6"/>
      <c r="B37" s="6"/>
      <c r="C37" s="6"/>
      <c r="D37" s="16"/>
      <c r="E37" s="17" t="str">
        <f aca="false">IF(OR(C37="",D37=""),"",ROUND(C37/1000*D37,2))</f>
        <v/>
      </c>
      <c r="F37" s="6"/>
      <c r="G37" s="16" t="n">
        <v>1.2</v>
      </c>
      <c r="H37" s="17" t="str">
        <f aca="false">IF(OR(F37="",G37=""),"",ROUND(F37*G37,2))</f>
        <v/>
      </c>
      <c r="I37" s="6"/>
      <c r="J37" s="16" t="n">
        <v>25</v>
      </c>
      <c r="K37" s="17" t="str">
        <f aca="false">IF(OR(I37="",J37=""),"",ROUND(I37/60*J37,2))</f>
        <v/>
      </c>
      <c r="L37" s="16"/>
      <c r="M37" s="17" t="str">
        <f aca="false">IF(E37="","",E37+H37+K37+L37)</f>
        <v/>
      </c>
      <c r="N37" s="20" t="n">
        <v>0.4</v>
      </c>
      <c r="O37" s="17" t="str">
        <f aca="false">IF(OR(M37="",N37=""),"",ROUND(M37*(1+N37),2))</f>
        <v/>
      </c>
    </row>
    <row r="38" customFormat="false" ht="15" hidden="false" customHeight="false" outlineLevel="0" collapsed="false">
      <c r="A38" s="6"/>
      <c r="B38" s="6"/>
      <c r="C38" s="6"/>
      <c r="D38" s="16"/>
      <c r="E38" s="17" t="str">
        <f aca="false">IF(OR(C38="",D38=""),"",ROUND(C38/1000*D38,2))</f>
        <v/>
      </c>
      <c r="F38" s="6"/>
      <c r="G38" s="16" t="n">
        <v>1.2</v>
      </c>
      <c r="H38" s="17" t="str">
        <f aca="false">IF(OR(F38="",G38=""),"",ROUND(F38*G38,2))</f>
        <v/>
      </c>
      <c r="I38" s="6"/>
      <c r="J38" s="16" t="n">
        <v>25</v>
      </c>
      <c r="K38" s="17" t="str">
        <f aca="false">IF(OR(I38="",J38=""),"",ROUND(I38/60*J38,2))</f>
        <v/>
      </c>
      <c r="L38" s="16"/>
      <c r="M38" s="17" t="str">
        <f aca="false">IF(E38="","",E38+H38+K38+L38)</f>
        <v/>
      </c>
      <c r="N38" s="20" t="n">
        <v>0.4</v>
      </c>
      <c r="O38" s="17" t="str">
        <f aca="false">IF(OR(M38="",N38=""),"",ROUND(M38*(1+N38),2))</f>
        <v/>
      </c>
    </row>
    <row r="39" customFormat="false" ht="15" hidden="false" customHeight="false" outlineLevel="0" collapsed="false">
      <c r="A39" s="6"/>
      <c r="B39" s="6"/>
      <c r="C39" s="6"/>
      <c r="D39" s="16"/>
      <c r="E39" s="17" t="str">
        <f aca="false">IF(OR(C39="",D39=""),"",ROUND(C39/1000*D39,2))</f>
        <v/>
      </c>
      <c r="F39" s="6"/>
      <c r="G39" s="16" t="n">
        <v>1.2</v>
      </c>
      <c r="H39" s="17" t="str">
        <f aca="false">IF(OR(F39="",G39=""),"",ROUND(F39*G39,2))</f>
        <v/>
      </c>
      <c r="I39" s="6"/>
      <c r="J39" s="16" t="n">
        <v>25</v>
      </c>
      <c r="K39" s="17" t="str">
        <f aca="false">IF(OR(I39="",J39=""),"",ROUND(I39/60*J39,2))</f>
        <v/>
      </c>
      <c r="L39" s="16"/>
      <c r="M39" s="17" t="str">
        <f aca="false">IF(E39="","",E39+H39+K39+L39)</f>
        <v/>
      </c>
      <c r="N39" s="20" t="n">
        <v>0.4</v>
      </c>
      <c r="O39" s="17" t="str">
        <f aca="false">IF(OR(M39="",N39=""),"",ROUND(M39*(1+N39),2))</f>
        <v/>
      </c>
    </row>
    <row r="40" customFormat="false" ht="15" hidden="false" customHeight="false" outlineLevel="0" collapsed="false">
      <c r="A40" s="6"/>
      <c r="B40" s="6"/>
      <c r="C40" s="6"/>
      <c r="D40" s="16"/>
      <c r="E40" s="17" t="str">
        <f aca="false">IF(OR(C40="",D40=""),"",ROUND(C40/1000*D40,2))</f>
        <v/>
      </c>
      <c r="F40" s="6"/>
      <c r="G40" s="16" t="n">
        <v>1.2</v>
      </c>
      <c r="H40" s="17" t="str">
        <f aca="false">IF(OR(F40="",G40=""),"",ROUND(F40*G40,2))</f>
        <v/>
      </c>
      <c r="I40" s="6"/>
      <c r="J40" s="16" t="n">
        <v>25</v>
      </c>
      <c r="K40" s="17" t="str">
        <f aca="false">IF(OR(I40="",J40=""),"",ROUND(I40/60*J40,2))</f>
        <v/>
      </c>
      <c r="L40" s="16"/>
      <c r="M40" s="17" t="str">
        <f aca="false">IF(E40="","",E40+H40+K40+L40)</f>
        <v/>
      </c>
      <c r="N40" s="20" t="n">
        <v>0.4</v>
      </c>
      <c r="O40" s="17" t="str">
        <f aca="false">IF(OR(M40="",N40=""),"",ROUND(M40*(1+N40),2))</f>
        <v/>
      </c>
    </row>
    <row r="41" customFormat="false" ht="15" hidden="false" customHeight="false" outlineLevel="0" collapsed="false">
      <c r="A41" s="6"/>
      <c r="B41" s="6"/>
      <c r="C41" s="6"/>
      <c r="D41" s="16"/>
      <c r="E41" s="17" t="str">
        <f aca="false">IF(OR(C41="",D41=""),"",ROUND(C41/1000*D41,2))</f>
        <v/>
      </c>
      <c r="F41" s="6"/>
      <c r="G41" s="16" t="n">
        <v>1.2</v>
      </c>
      <c r="H41" s="17" t="str">
        <f aca="false">IF(OR(F41="",G41=""),"",ROUND(F41*G41,2))</f>
        <v/>
      </c>
      <c r="I41" s="6"/>
      <c r="J41" s="16" t="n">
        <v>25</v>
      </c>
      <c r="K41" s="17" t="str">
        <f aca="false">IF(OR(I41="",J41=""),"",ROUND(I41/60*J41,2))</f>
        <v/>
      </c>
      <c r="L41" s="16"/>
      <c r="M41" s="17" t="str">
        <f aca="false">IF(E41="","",E41+H41+K41+L41)</f>
        <v/>
      </c>
      <c r="N41" s="20" t="n">
        <v>0.4</v>
      </c>
      <c r="O41" s="17" t="str">
        <f aca="false">IF(OR(M41="",N41=""),"",ROUND(M41*(1+N41),2))</f>
        <v/>
      </c>
    </row>
    <row r="42" customFormat="false" ht="15" hidden="false" customHeight="false" outlineLevel="0" collapsed="false">
      <c r="A42" s="6"/>
      <c r="B42" s="6"/>
      <c r="C42" s="6"/>
      <c r="D42" s="16"/>
      <c r="E42" s="17" t="str">
        <f aca="false">IF(OR(C42="",D42=""),"",ROUND(C42/1000*D42,2))</f>
        <v/>
      </c>
      <c r="F42" s="6"/>
      <c r="G42" s="16" t="n">
        <v>1.2</v>
      </c>
      <c r="H42" s="17" t="str">
        <f aca="false">IF(OR(F42="",G42=""),"",ROUND(F42*G42,2))</f>
        <v/>
      </c>
      <c r="I42" s="6"/>
      <c r="J42" s="16" t="n">
        <v>25</v>
      </c>
      <c r="K42" s="17" t="str">
        <f aca="false">IF(OR(I42="",J42=""),"",ROUND(I42/60*J42,2))</f>
        <v/>
      </c>
      <c r="L42" s="16"/>
      <c r="M42" s="17" t="str">
        <f aca="false">IF(E42="","",E42+H42+K42+L42)</f>
        <v/>
      </c>
      <c r="N42" s="20" t="n">
        <v>0.4</v>
      </c>
      <c r="O42" s="17" t="str">
        <f aca="false">IF(OR(M42="",N42=""),"",ROUND(M42*(1+N42),2))</f>
        <v/>
      </c>
    </row>
    <row r="43" customFormat="false" ht="15" hidden="false" customHeight="false" outlineLevel="0" collapsed="false">
      <c r="A43" s="6"/>
      <c r="B43" s="6"/>
      <c r="C43" s="6"/>
      <c r="D43" s="16"/>
      <c r="E43" s="17" t="str">
        <f aca="false">IF(OR(C43="",D43=""),"",ROUND(C43/1000*D43,2))</f>
        <v/>
      </c>
      <c r="F43" s="6"/>
      <c r="G43" s="16" t="n">
        <v>1.2</v>
      </c>
      <c r="H43" s="17" t="str">
        <f aca="false">IF(OR(F43="",G43=""),"",ROUND(F43*G43,2))</f>
        <v/>
      </c>
      <c r="I43" s="6"/>
      <c r="J43" s="16" t="n">
        <v>25</v>
      </c>
      <c r="K43" s="17" t="str">
        <f aca="false">IF(OR(I43="",J43=""),"",ROUND(I43/60*J43,2))</f>
        <v/>
      </c>
      <c r="L43" s="16"/>
      <c r="M43" s="17" t="str">
        <f aca="false">IF(E43="","",E43+H43+K43+L43)</f>
        <v/>
      </c>
      <c r="N43" s="20" t="n">
        <v>0.4</v>
      </c>
      <c r="O43" s="17" t="str">
        <f aca="false">IF(OR(M43="",N43=""),"",ROUND(M43*(1+N43),2))</f>
        <v/>
      </c>
    </row>
    <row r="44" customFormat="false" ht="15" hidden="false" customHeight="false" outlineLevel="0" collapsed="false">
      <c r="A44" s="6"/>
      <c r="B44" s="6"/>
      <c r="C44" s="6"/>
      <c r="D44" s="16"/>
      <c r="E44" s="17" t="str">
        <f aca="false">IF(OR(C44="",D44=""),"",ROUND(C44/1000*D44,2))</f>
        <v/>
      </c>
      <c r="F44" s="6"/>
      <c r="G44" s="16" t="n">
        <v>1.2</v>
      </c>
      <c r="H44" s="17" t="str">
        <f aca="false">IF(OR(F44="",G44=""),"",ROUND(F44*G44,2))</f>
        <v/>
      </c>
      <c r="I44" s="6"/>
      <c r="J44" s="16" t="n">
        <v>25</v>
      </c>
      <c r="K44" s="17" t="str">
        <f aca="false">IF(OR(I44="",J44=""),"",ROUND(I44/60*J44,2))</f>
        <v/>
      </c>
      <c r="L44" s="16"/>
      <c r="M44" s="17" t="str">
        <f aca="false">IF(E44="","",E44+H44+K44+L44)</f>
        <v/>
      </c>
      <c r="N44" s="20" t="n">
        <v>0.4</v>
      </c>
      <c r="O44" s="17" t="str">
        <f aca="false">IF(OR(M44="",N44=""),"",ROUND(M44*(1+N44),2))</f>
        <v/>
      </c>
    </row>
    <row r="45" customFormat="false" ht="15" hidden="false" customHeight="false" outlineLevel="0" collapsed="false">
      <c r="A45" s="6"/>
      <c r="B45" s="6"/>
      <c r="C45" s="6"/>
      <c r="D45" s="16"/>
      <c r="E45" s="17" t="str">
        <f aca="false">IF(OR(C45="",D45=""),"",ROUND(C45/1000*D45,2))</f>
        <v/>
      </c>
      <c r="F45" s="6"/>
      <c r="G45" s="16" t="n">
        <v>1.2</v>
      </c>
      <c r="H45" s="17" t="str">
        <f aca="false">IF(OR(F45="",G45=""),"",ROUND(F45*G45,2))</f>
        <v/>
      </c>
      <c r="I45" s="6"/>
      <c r="J45" s="16" t="n">
        <v>25</v>
      </c>
      <c r="K45" s="17" t="str">
        <f aca="false">IF(OR(I45="",J45=""),"",ROUND(I45/60*J45,2))</f>
        <v/>
      </c>
      <c r="L45" s="16"/>
      <c r="M45" s="17" t="str">
        <f aca="false">IF(E45="","",E45+H45+K45+L45)</f>
        <v/>
      </c>
      <c r="N45" s="20" t="n">
        <v>0.4</v>
      </c>
      <c r="O45" s="17" t="str">
        <f aca="false">IF(OR(M45="",N45=""),"",ROUND(M45*(1+N45),2))</f>
        <v/>
      </c>
    </row>
    <row r="46" customFormat="false" ht="15" hidden="false" customHeight="false" outlineLevel="0" collapsed="false">
      <c r="A46" s="6"/>
      <c r="B46" s="6"/>
      <c r="C46" s="6"/>
      <c r="D46" s="16"/>
      <c r="E46" s="17" t="str">
        <f aca="false">IF(OR(C46="",D46=""),"",ROUND(C46/1000*D46,2))</f>
        <v/>
      </c>
      <c r="F46" s="6"/>
      <c r="G46" s="16" t="n">
        <v>1.2</v>
      </c>
      <c r="H46" s="17" t="str">
        <f aca="false">IF(OR(F46="",G46=""),"",ROUND(F46*G46,2))</f>
        <v/>
      </c>
      <c r="I46" s="6"/>
      <c r="J46" s="16" t="n">
        <v>25</v>
      </c>
      <c r="K46" s="17" t="str">
        <f aca="false">IF(OR(I46="",J46=""),"",ROUND(I46/60*J46,2))</f>
        <v/>
      </c>
      <c r="L46" s="16"/>
      <c r="M46" s="17" t="str">
        <f aca="false">IF(E46="","",E46+H46+K46+L46)</f>
        <v/>
      </c>
      <c r="N46" s="20" t="n">
        <v>0.4</v>
      </c>
      <c r="O46" s="17" t="str">
        <f aca="false">IF(OR(M46="",N46=""),"",ROUND(M46*(1+N46),2))</f>
        <v/>
      </c>
    </row>
    <row r="47" customFormat="false" ht="15" hidden="false" customHeight="false" outlineLevel="0" collapsed="false">
      <c r="A47" s="6"/>
      <c r="B47" s="6"/>
      <c r="C47" s="6"/>
      <c r="D47" s="16"/>
      <c r="E47" s="17" t="str">
        <f aca="false">IF(OR(C47="",D47=""),"",ROUND(C47/1000*D47,2))</f>
        <v/>
      </c>
      <c r="F47" s="6"/>
      <c r="G47" s="16" t="n">
        <v>1.2</v>
      </c>
      <c r="H47" s="17" t="str">
        <f aca="false">IF(OR(F47="",G47=""),"",ROUND(F47*G47,2))</f>
        <v/>
      </c>
      <c r="I47" s="6"/>
      <c r="J47" s="16" t="n">
        <v>25</v>
      </c>
      <c r="K47" s="17" t="str">
        <f aca="false">IF(OR(I47="",J47=""),"",ROUND(I47/60*J47,2))</f>
        <v/>
      </c>
      <c r="L47" s="16"/>
      <c r="M47" s="17" t="str">
        <f aca="false">IF(E47="","",E47+H47+K47+L47)</f>
        <v/>
      </c>
      <c r="N47" s="20" t="n">
        <v>0.4</v>
      </c>
      <c r="O47" s="17" t="str">
        <f aca="false">IF(OR(M47="",N47=""),"",ROUND(M47*(1+N47),2))</f>
        <v/>
      </c>
    </row>
    <row r="48" customFormat="false" ht="15" hidden="false" customHeight="false" outlineLevel="0" collapsed="false">
      <c r="A48" s="6"/>
      <c r="B48" s="6"/>
      <c r="C48" s="6"/>
      <c r="D48" s="16"/>
      <c r="E48" s="17" t="str">
        <f aca="false">IF(OR(C48="",D48=""),"",ROUND(C48/1000*D48,2))</f>
        <v/>
      </c>
      <c r="F48" s="6"/>
      <c r="G48" s="16" t="n">
        <v>1.2</v>
      </c>
      <c r="H48" s="17" t="str">
        <f aca="false">IF(OR(F48="",G48=""),"",ROUND(F48*G48,2))</f>
        <v/>
      </c>
      <c r="I48" s="6"/>
      <c r="J48" s="16" t="n">
        <v>25</v>
      </c>
      <c r="K48" s="17" t="str">
        <f aca="false">IF(OR(I48="",J48=""),"",ROUND(I48/60*J48,2))</f>
        <v/>
      </c>
      <c r="L48" s="16"/>
      <c r="M48" s="17" t="str">
        <f aca="false">IF(E48="","",E48+H48+K48+L48)</f>
        <v/>
      </c>
      <c r="N48" s="20" t="n">
        <v>0.4</v>
      </c>
      <c r="O48" s="17" t="str">
        <f aca="false">IF(OR(M48="",N48=""),"",ROUND(M48*(1+N48),2))</f>
        <v/>
      </c>
    </row>
    <row r="49" customFormat="false" ht="15" hidden="false" customHeight="false" outlineLevel="0" collapsed="false">
      <c r="A49" s="6"/>
      <c r="B49" s="6"/>
      <c r="C49" s="6"/>
      <c r="D49" s="16"/>
      <c r="E49" s="17" t="str">
        <f aca="false">IF(OR(C49="",D49=""),"",ROUND(C49/1000*D49,2))</f>
        <v/>
      </c>
      <c r="F49" s="6"/>
      <c r="G49" s="16" t="n">
        <v>1.2</v>
      </c>
      <c r="H49" s="17" t="str">
        <f aca="false">IF(OR(F49="",G49=""),"",ROUND(F49*G49,2))</f>
        <v/>
      </c>
      <c r="I49" s="6"/>
      <c r="J49" s="16" t="n">
        <v>25</v>
      </c>
      <c r="K49" s="17" t="str">
        <f aca="false">IF(OR(I49="",J49=""),"",ROUND(I49/60*J49,2))</f>
        <v/>
      </c>
      <c r="L49" s="16"/>
      <c r="M49" s="17" t="str">
        <f aca="false">IF(E49="","",E49+H49+K49+L49)</f>
        <v/>
      </c>
      <c r="N49" s="20" t="n">
        <v>0.4</v>
      </c>
      <c r="O49" s="17" t="str">
        <f aca="false">IF(OR(M49="",N49=""),"",ROUND(M49*(1+N49),2))</f>
        <v/>
      </c>
    </row>
    <row r="50" customFormat="false" ht="15" hidden="false" customHeight="false" outlineLevel="0" collapsed="false">
      <c r="A50" s="6"/>
      <c r="B50" s="6"/>
      <c r="C50" s="6"/>
      <c r="D50" s="16"/>
      <c r="E50" s="17" t="str">
        <f aca="false">IF(OR(C50="",D50=""),"",ROUND(C50/1000*D50,2))</f>
        <v/>
      </c>
      <c r="F50" s="6"/>
      <c r="G50" s="16" t="n">
        <v>1.2</v>
      </c>
      <c r="H50" s="17" t="str">
        <f aca="false">IF(OR(F50="",G50=""),"",ROUND(F50*G50,2))</f>
        <v/>
      </c>
      <c r="I50" s="6"/>
      <c r="J50" s="16" t="n">
        <v>25</v>
      </c>
      <c r="K50" s="17" t="str">
        <f aca="false">IF(OR(I50="",J50=""),"",ROUND(I50/60*J50,2))</f>
        <v/>
      </c>
      <c r="L50" s="16"/>
      <c r="M50" s="17" t="str">
        <f aca="false">IF(E50="","",E50+H50+K50+L50)</f>
        <v/>
      </c>
      <c r="N50" s="20" t="n">
        <v>0.4</v>
      </c>
      <c r="O50" s="17" t="str">
        <f aca="false">IF(OR(M50="",N50=""),"",ROUND(M50*(1+N50),2))</f>
        <v/>
      </c>
    </row>
    <row r="51" customFormat="false" ht="15" hidden="false" customHeight="false" outlineLevel="0" collapsed="false">
      <c r="A51" s="6"/>
      <c r="B51" s="6"/>
      <c r="C51" s="6"/>
      <c r="D51" s="16"/>
      <c r="E51" s="17" t="str">
        <f aca="false">IF(OR(C51="",D51=""),"",ROUND(C51/1000*D51,2))</f>
        <v/>
      </c>
      <c r="F51" s="6"/>
      <c r="G51" s="16" t="n">
        <v>1.2</v>
      </c>
      <c r="H51" s="17" t="str">
        <f aca="false">IF(OR(F51="",G51=""),"",ROUND(F51*G51,2))</f>
        <v/>
      </c>
      <c r="I51" s="6"/>
      <c r="J51" s="16" t="n">
        <v>25</v>
      </c>
      <c r="K51" s="17" t="str">
        <f aca="false">IF(OR(I51="",J51=""),"",ROUND(I51/60*J51,2))</f>
        <v/>
      </c>
      <c r="L51" s="16"/>
      <c r="M51" s="17" t="str">
        <f aca="false">IF(E51="","",E51+H51+K51+L51)</f>
        <v/>
      </c>
      <c r="N51" s="20" t="n">
        <v>0.4</v>
      </c>
      <c r="O51" s="17" t="str">
        <f aca="false">IF(OR(M51="",N51=""),"",ROUND(M51*(1+N51),2))</f>
        <v/>
      </c>
    </row>
    <row r="52" customFormat="false" ht="15" hidden="false" customHeight="false" outlineLevel="0" collapsed="false">
      <c r="A52" s="6"/>
      <c r="B52" s="6"/>
      <c r="C52" s="6"/>
      <c r="D52" s="16"/>
      <c r="E52" s="17" t="str">
        <f aca="false">IF(OR(C52="",D52=""),"",ROUND(C52/1000*D52,2))</f>
        <v/>
      </c>
      <c r="F52" s="6"/>
      <c r="G52" s="16" t="n">
        <v>1.2</v>
      </c>
      <c r="H52" s="17" t="str">
        <f aca="false">IF(OR(F52="",G52=""),"",ROUND(F52*G52,2))</f>
        <v/>
      </c>
      <c r="I52" s="6"/>
      <c r="J52" s="16" t="n">
        <v>25</v>
      </c>
      <c r="K52" s="17" t="str">
        <f aca="false">IF(OR(I52="",J52=""),"",ROUND(I52/60*J52,2))</f>
        <v/>
      </c>
      <c r="L52" s="16"/>
      <c r="M52" s="17" t="str">
        <f aca="false">IF(E52="","",E52+H52+K52+L52)</f>
        <v/>
      </c>
      <c r="N52" s="20" t="n">
        <v>0.4</v>
      </c>
      <c r="O52" s="17" t="str">
        <f aca="false">IF(OR(M52="",N52=""),"",ROUND(M52*(1+N52),2))</f>
        <v/>
      </c>
    </row>
    <row r="53" customFormat="false" ht="15" hidden="false" customHeight="false" outlineLevel="0" collapsed="false">
      <c r="A53" s="6"/>
      <c r="B53" s="6"/>
      <c r="C53" s="6"/>
      <c r="D53" s="16"/>
      <c r="E53" s="17" t="str">
        <f aca="false">IF(OR(C53="",D53=""),"",ROUND(C53/1000*D53,2))</f>
        <v/>
      </c>
      <c r="F53" s="6"/>
      <c r="G53" s="16" t="n">
        <v>1.2</v>
      </c>
      <c r="H53" s="17" t="str">
        <f aca="false">IF(OR(F53="",G53=""),"",ROUND(F53*G53,2))</f>
        <v/>
      </c>
      <c r="I53" s="6"/>
      <c r="J53" s="16" t="n">
        <v>25</v>
      </c>
      <c r="K53" s="17" t="str">
        <f aca="false">IF(OR(I53="",J53=""),"",ROUND(I53/60*J53,2))</f>
        <v/>
      </c>
      <c r="L53" s="16"/>
      <c r="M53" s="17" t="str">
        <f aca="false">IF(E53="","",E53+H53+K53+L53)</f>
        <v/>
      </c>
      <c r="N53" s="20" t="n">
        <v>0.4</v>
      </c>
      <c r="O53" s="17" t="str">
        <f aca="false">IF(OR(M53="",N53=""),"",ROUND(M53*(1+N53),2))</f>
        <v/>
      </c>
    </row>
    <row r="54" customFormat="false" ht="15" hidden="false" customHeight="false" outlineLevel="0" collapsed="false">
      <c r="A54" s="6"/>
      <c r="B54" s="6"/>
      <c r="C54" s="6"/>
      <c r="D54" s="16"/>
      <c r="E54" s="17" t="str">
        <f aca="false">IF(OR(C54="",D54=""),"",ROUND(C54/1000*D54,2))</f>
        <v/>
      </c>
      <c r="F54" s="6"/>
      <c r="G54" s="16" t="n">
        <v>1.2</v>
      </c>
      <c r="H54" s="17" t="str">
        <f aca="false">IF(OR(F54="",G54=""),"",ROUND(F54*G54,2))</f>
        <v/>
      </c>
      <c r="I54" s="6"/>
      <c r="J54" s="16" t="n">
        <v>25</v>
      </c>
      <c r="K54" s="17" t="str">
        <f aca="false">IF(OR(I54="",J54=""),"",ROUND(I54/60*J54,2))</f>
        <v/>
      </c>
      <c r="L54" s="16"/>
      <c r="M54" s="17" t="str">
        <f aca="false">IF(E54="","",E54+H54+K54+L54)</f>
        <v/>
      </c>
      <c r="N54" s="20" t="n">
        <v>0.4</v>
      </c>
      <c r="O54" s="17" t="str">
        <f aca="false">IF(OR(M54="",N54=""),"",ROUND(M54*(1+N54),2))</f>
        <v/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2026-09-17T14:27:06Z</dcterms:created>
  <dc:creator>openpyxl</dc:creator>
  <dc:description/>
  <dc:language>en-US</dc:language>
  <cp:lastModifiedBy/>
  <dcterms:modified xsi:type="dcterms:W3CDTF">2026-09-17T14:27:06Z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