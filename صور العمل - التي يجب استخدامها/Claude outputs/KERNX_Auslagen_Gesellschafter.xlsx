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Auslagen" sheetId="2" state="visible" r:id="rId4"/>
    <sheet name="Fahrten_k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<sst xmlns="http://schemas.openxmlformats.org/spreadsheetml/2006/main" count="69" uniqueCount="68">
  <si>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 xml:space="preserve">KERNX BAU UG — Anleitung</t>
  </si>
  <si>
    <t xml:space="preserve">Gelb hinterlegte Zellen ausfuellen. Weisse Zellen rechnen sich selbst.</t>
  </si>
  <si>
    <t xml:space="preserve">Die Frage war: darf ein Beleg gebucht werden, der auf den eigenen Namen laeuft?</t>
  </si>
  <si>
    <t xml:space="preserve">Die Antwort ist zweigeteilt — und genau daran scheitern die meisten kleinen Betriebe.</t>
  </si>
  <si>
    <t xml:space="preserve">1) Als Betriebsausgabe (Koerperschaft- und Gewerbesteuer): JA.</t>
  </si>
  <si>
    <t xml:space="preserve">   Entscheidend ist nach § 4 Abs. 4 EStG nur, ob die Ausgabe betrieblich veranlasst ist.</t>
  </si>
  <si>
    <t xml:space="preserve">   Wer privat fuer die Firma zahlt, hat einen Erstattungsanspruch. Die UG erstattet, bucht die</t>
  </si>
  <si>
    <t xml:space="preserve">   Kosten und die Sache ist sauber. Der Name auf dem Beleg spielt dafuer keine Rolle.</t>
  </si>
  <si>
    <t xml:space="preserve">2) Fuer den Vorsteuerabzug (Umsatzsteuer): NUR UNTER EINER BEDINGUNG.</t>
  </si>
  <si>
    <t xml:space="preserve">   § 15 UStG verlangt eine Rechnung nach § 14 UStG, und dort steht: vollstaendiger Name und</t>
  </si>
  <si>
    <t xml:space="preserve">   Anschrift des Leistungsempfaengers. Steht dort ein Privatname, gibt es keine Vorsteuer.</t>
  </si>
  <si>
    <t xml:space="preserve">   ABER — und das loest den groessten Teil des Problems:</t>
  </si>
  <si>
    <t xml:space="preserve">   Bei einem Gesamtbetrag bis 250 EUR brutto gilt § 33 UStDV (Kleinbetragsrechnung).</t>
  </si>
  <si>
    <t xml:space="preserve">   Dort ist der Name des Empfaengers ueberhaupt nicht vorgeschrieben.</t>
  </si>
  <si>
    <t xml:space="preserve">   Tankquittungen, Handschuhe, Kleinwerkzeug, Porto — alles unter 250 EUR ist voll verwendbar,</t>
  </si>
  <si>
    <t xml:space="preserve">   auch ohne jeden Namen darauf. Die Spalte 'Vorsteuer moeglich' rechnet das automatisch.</t>
  </si>
  <si>
    <t xml:space="preserve">   Ueber 250 EUR: der Firmenname muss drauf. Fehlt er, beim Lieferanten eine berichtigte</t>
  </si>
  <si>
    <t xml:space="preserve">   Rechnung anfordern — das geht rueckwirkend.</t>
  </si>
  <si>
    <t xml:space="preserve">3) Kraftstoff — hier wird am haeufigsten falsch gebucht:</t>
  </si>
  <si>
    <t xml:space="preserve">   • Firmenfahrzeug (im Betriebsvermoegen): Tankbelege werden gebucht, Vorsteuer abziehbar.</t>
  </si>
  <si>
    <t xml:space="preserve">   • Privat-Pkw: Tankbelege duerfen NICHT gebucht werden. Stattdessen erstattet die UG</t>
  </si>
  <si>
    <t xml:space="preserve">     0,30 EUR je gefahrenem Kilometer steuerfrei — dafuer ist das Blatt 'Fahrten_km' da.</t>
  </si>
  <si>
    <t xml:space="preserve">   • Beides zusammen geht nicht. Wer Tankbelege UND Kilometerpauschale bucht, bucht doppelt.</t>
  </si>
  <si>
    <t xml:space="preserve">4) Kleidung — der zweite haeufige Fehler:</t>
  </si>
  <si>
    <t xml:space="preserve">   Nach § 12 Nr. 1 EStG ist normale Kleidung nie abzugsfaehig, auch nicht mit perfekter Rechnung.</t>
  </si>
  <si>
    <t xml:space="preserve">   Abzugsfaehig ist nur typische Berufskleidung: Sicherheitsschuhe, Warnweste, Helm, Schnittschutz,</t>
  </si>
  <si>
    <t xml:space="preserve">   Arbeitshose — idealerweise mit Firmenlogo. Die Rechnung von ATS Arbeitsschutz faellt darunter.</t>
  </si>
  <si>
    <t xml:space="preserve">   Ein normales T-Shirt oder eine Jeans faellt nicht darunter, egal wer draufsteht.</t>
  </si>
  <si>
    <t xml:space="preserve">Ablauf im Alltag:</t>
  </si>
  <si>
    <t xml:space="preserve">   Beleg sammeln → hier eintragen → einmal im Monat die Summe vom Firmenkonto ueberweisen</t>
  </si>
  <si>
    <t xml:space="preserve">   mit Verwendungszweck 'Auslagenerstattung MM/JJJJ' → Spalte 'Erstattet am' fuellen.</t>
  </si>
  <si>
    <t xml:space="preserve">   Beleg ablegen in 05_Finanzen_Buchhaltung/Belegablage_2026/02_EINGANGSRECHNUNGEN.</t>
  </si>
  <si>
    <t xml:space="preserve">Dieses Blatt ersetzt keine Steuerberatung. Die Behandlung der Auslagen gehoert beim ersten</t>
  </si>
  <si>
    <t xml:space="preserve">Jahresabschluss einmal auf den Tisch des Steuerberaters.</t>
  </si>
  <si>
    <t xml:space="preserve">Farblegende</t>
  </si>
  <si>
    <t xml:space="preserve">Gelb  —  hier eintragen</t>
  </si>
  <si>
    <t xml:space="preserve">Gruen  —  in Ordnung / gueltig</t>
  </si>
  <si>
    <t xml:space="preserve">Orange  —  laeuft in 30 Tagen ab / bald faellig</t>
  </si>
  <si>
    <t xml:space="preserve">Rot  —  fehlt, abgelaufen oder ueberfaellig — sofort handeln</t>
  </si>
  <si>
    <t xml:space="preserve">Auslagen des Gesellschafters</t>
  </si>
  <si>
    <t xml:space="preserve">Summe erstattungsfaehig:</t>
  </si>
  <si>
    <t xml:space="preserve">davon Vorsteuer:</t>
  </si>
  <si>
    <t xml:space="preserve">Lfd. Nr.</t>
  </si>
  <si>
    <t xml:space="preserve">Datum</t>
  </si>
  <si>
    <t xml:space="preserve">Lieferant</t>
  </si>
  <si>
    <t xml:space="preserve">Was</t>
  </si>
  <si>
    <t xml:space="preserve">Kostenart</t>
  </si>
  <si>
    <t xml:space="preserve">Brutto EUR</t>
  </si>
  <si>
    <t xml:space="preserve">USt-Satz</t>
  </si>
  <si>
    <t xml:space="preserve">USt EUR</t>
  </si>
  <si>
    <t xml:space="preserve">Netto EUR</t>
  </si>
  <si>
    <t xml:space="preserve">Name auf Beleg</t>
  </si>
  <si>
    <t xml:space="preserve">Vorsteuer moeglich</t>
  </si>
  <si>
    <t xml:space="preserve">Erstattet am</t>
  </si>
  <si>
    <t xml:space="preserve">Pruefung</t>
  </si>
  <si>
    <t xml:space="preserve">Fahrtenbuch für den Privat-Pkw</t>
  </si>
  <si>
    <t xml:space="preserve">km gesamt:</t>
  </si>
  <si>
    <t xml:space="preserve">Erstattung gesamt:</t>
  </si>
  <si>
    <t xml:space="preserve">Von</t>
  </si>
  <si>
    <t xml:space="preserve">Nach</t>
  </si>
  <si>
    <t xml:space="preserve">Anlass / Kunde</t>
  </si>
  <si>
    <t xml:space="preserve">Projekt-ID</t>
  </si>
  <si>
    <t xml:space="preserve">km hin</t>
  </si>
  <si>
    <t xml:space="preserve">km zurueck</t>
  </si>
  <si>
    <t xml:space="preserve">km gesamt</t>
  </si>
  <si>
    <t xml:space="preserve">Satz EUR/km</t>
  </si>
  <si>
    <t xml:space="preserve">Erstattung EUR</t>
  </si>
  <si>
    <t xml:space="preserve">Beleg / Notiz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</si>
</sst>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EUR&quot;"/>
    <numFmt numFmtId="166" formatCode="dd\.mm\.yyyy"/>
    <numFmt numFmtId="167" formatCode="0%"/>
    <numFmt numFmtId="168" formatCode="#,##0&quot; km&quot;"/>
    <numFmt numFmtId="169" formatCode="0.00&quot; EUR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2211C"/>
      <name val="Arial"/>
      <family val="0"/>
      <charset val="1"/>
    </font>
    <font>
      <i val="true"/>
      <sz val="9.5"/>
      <color rgb="FF5D6D7E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844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6D5"/>
        <bgColor rgb="FFFDEBD0"/>
      </patternFill>
    </fill>
    <fill>
      <patternFill patternType="solid">
        <fgColor rgb="FFD6EFDD"/>
        <bgColor rgb="FFCCFFFF"/>
      </patternFill>
    </fill>
    <fill>
      <patternFill patternType="solid">
        <fgColor rgb="FFFDEBD0"/>
        <bgColor rgb="FFFFF6D5"/>
      </patternFill>
    </fill>
    <fill>
      <patternFill patternType="solid">
        <fgColor rgb="FFF9D7D4"/>
        <bgColor rgb="FFFDEBD0"/>
      </patternFill>
    </fill>
    <fill>
      <patternFill patternType="solid">
        <fgColor rgb="FF12211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392B"/>
      </font>
      <fill>
        <patternFill>
          <bgColor rgb="FFF9D7D4"/>
        </patternFill>
      </fill>
    </dxf>
    <dxf>
      <font>
        <name val="Arial"/>
        <charset val="1"/>
        <family val="0"/>
        <color rgb="FF1E8449"/>
      </font>
      <fill>
        <patternFill>
          <bgColor rgb="FFD6EFDD"/>
        </patternFill>
      </fill>
    </dxf>
    <dxf>
      <font>
        <name val="Arial"/>
        <charset val="1"/>
        <family val="0"/>
        <color rgb="FFB9770E"/>
      </font>
      <fill>
        <patternFill>
          <bgColor rgb="FFFDEB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C0C0C0"/>
      <rgbColor rgb="FF808080"/>
      <rgbColor rgb="FF9999FF"/>
      <rgbColor rgb="FF993366"/>
      <rgbColor rgb="FFFFF6D5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D"/>
      <rgbColor rgb="FFFDEBD0"/>
      <rgbColor rgb="FF99CCFF"/>
      <rgbColor rgb="FFFF99CC"/>
      <rgbColor rgb="FFCC99FF"/>
      <rgbColor rgb="FFF9D7D4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03366"/>
      <rgbColor rgb="FF1E8449"/>
      <rgbColor rgb="FF12211C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8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B4" s="3" t="s">
        <v>2</v>
      </c>
    </row>
    <row r="5" customFormat="false" ht="15.75" hidden="false" customHeight="true" outlineLevel="0" collapsed="false">
      <c r="B5" s="3" t="s">
        <v>3</v>
      </c>
    </row>
    <row r="6" customFormat="false" ht="15.75" hidden="false" customHeight="true" outlineLevel="0" collapsed="false">
      <c r="B6" s="3"/>
    </row>
    <row r="7" customFormat="false" ht="15.75" hidden="false" customHeight="true" outlineLevel="0" collapsed="false">
      <c r="B7" s="3" t="s">
        <v>4</v>
      </c>
    </row>
    <row r="8" customFormat="false" ht="15.75" hidden="false" customHeight="true" outlineLevel="0" collapsed="false">
      <c r="B8" s="3" t="s">
        <v>5</v>
      </c>
    </row>
    <row r="9" customFormat="false" ht="15.75" hidden="false" customHeight="true" outlineLevel="0" collapsed="false">
      <c r="B9" s="3" t="s">
        <v>6</v>
      </c>
    </row>
    <row r="10" customFormat="false" ht="15.75" hidden="false" customHeight="true" outlineLevel="0" collapsed="false">
      <c r="B10" s="3" t="s">
        <v>7</v>
      </c>
    </row>
    <row r="11" customFormat="false" ht="15.75" hidden="false" customHeight="true" outlineLevel="0" collapsed="false">
      <c r="B11" s="3"/>
    </row>
    <row r="12" customFormat="false" ht="15.75" hidden="false" customHeight="true" outlineLevel="0" collapsed="false">
      <c r="B12" s="3" t="s">
        <v>8</v>
      </c>
    </row>
    <row r="13" customFormat="false" ht="15.75" hidden="false" customHeight="true" outlineLevel="0" collapsed="false">
      <c r="B13" s="3" t="s">
        <v>9</v>
      </c>
    </row>
    <row r="14" customFormat="false" ht="15.75" hidden="false" customHeight="true" outlineLevel="0" collapsed="false">
      <c r="B14" s="3" t="s">
        <v>10</v>
      </c>
    </row>
    <row r="15" customFormat="false" ht="15.75" hidden="false" customHeight="true" outlineLevel="0" collapsed="false">
      <c r="B15" s="3"/>
    </row>
    <row r="16" customFormat="false" ht="15.75" hidden="false" customHeight="true" outlineLevel="0" collapsed="false">
      <c r="B16" s="4" t="s">
        <v>11</v>
      </c>
    </row>
    <row r="17" customFormat="false" ht="15.75" hidden="false" customHeight="true" outlineLevel="0" collapsed="false">
      <c r="B17" s="3" t="s">
        <v>12</v>
      </c>
    </row>
    <row r="18" customFormat="false" ht="15.75" hidden="false" customHeight="true" outlineLevel="0" collapsed="false">
      <c r="B18" s="3" t="s">
        <v>13</v>
      </c>
    </row>
    <row r="19" customFormat="false" ht="15.75" hidden="false" customHeight="true" outlineLevel="0" collapsed="false">
      <c r="B19" s="3" t="s">
        <v>14</v>
      </c>
    </row>
    <row r="20" customFormat="false" ht="15.75" hidden="false" customHeight="true" outlineLevel="0" collapsed="false">
      <c r="B20" s="3" t="s">
        <v>15</v>
      </c>
    </row>
    <row r="21" customFormat="false" ht="15.75" hidden="false" customHeight="true" outlineLevel="0" collapsed="false">
      <c r="B21" s="3"/>
    </row>
    <row r="22" customFormat="false" ht="15.75" hidden="false" customHeight="true" outlineLevel="0" collapsed="false">
      <c r="B22" s="3" t="s">
        <v>16</v>
      </c>
    </row>
    <row r="23" customFormat="false" ht="15.75" hidden="false" customHeight="true" outlineLevel="0" collapsed="false">
      <c r="B23" s="3" t="s">
        <v>17</v>
      </c>
    </row>
    <row r="24" customFormat="false" ht="15.75" hidden="false" customHeight="true" outlineLevel="0" collapsed="false">
      <c r="B24" s="3"/>
    </row>
    <row r="25" customFormat="false" ht="15.75" hidden="false" customHeight="true" outlineLevel="0" collapsed="false">
      <c r="B25" s="4" t="s">
        <v>18</v>
      </c>
    </row>
    <row r="26" customFormat="false" ht="15.75" hidden="false" customHeight="true" outlineLevel="0" collapsed="false">
      <c r="B26" s="3" t="s">
        <v>19</v>
      </c>
    </row>
    <row r="27" customFormat="false" ht="15.75" hidden="false" customHeight="true" outlineLevel="0" collapsed="false">
      <c r="B27" s="3" t="s">
        <v>20</v>
      </c>
    </row>
    <row r="28" customFormat="false" ht="15.75" hidden="false" customHeight="true" outlineLevel="0" collapsed="false">
      <c r="B28" s="3" t="s">
        <v>21</v>
      </c>
    </row>
    <row r="29" customFormat="false" ht="15.75" hidden="false" customHeight="true" outlineLevel="0" collapsed="false">
      <c r="B29" s="3" t="s">
        <v>22</v>
      </c>
    </row>
    <row r="30" customFormat="false" ht="15.75" hidden="false" customHeight="true" outlineLevel="0" collapsed="false">
      <c r="B30" s="3"/>
    </row>
    <row r="31" customFormat="false" ht="15.75" hidden="false" customHeight="true" outlineLevel="0" collapsed="false">
      <c r="B31" s="4" t="s">
        <v>23</v>
      </c>
    </row>
    <row r="32" customFormat="false" ht="30" hidden="false" customHeight="true" outlineLevel="0" collapsed="false">
      <c r="B32" s="3" t="s">
        <v>24</v>
      </c>
    </row>
    <row r="33" customFormat="false" ht="30" hidden="false" customHeight="true" outlineLevel="0" collapsed="false">
      <c r="B33" s="3" t="s">
        <v>25</v>
      </c>
    </row>
    <row r="34" customFormat="false" ht="30" hidden="false" customHeight="true" outlineLevel="0" collapsed="false">
      <c r="B34" s="3" t="s">
        <v>26</v>
      </c>
    </row>
    <row r="35" customFormat="false" ht="15.75" hidden="false" customHeight="true" outlineLevel="0" collapsed="false">
      <c r="B35" s="3" t="s">
        <v>27</v>
      </c>
    </row>
    <row r="36" customFormat="false" ht="15.75" hidden="false" customHeight="true" outlineLevel="0" collapsed="false">
      <c r="B36" s="3"/>
    </row>
    <row r="37" customFormat="false" ht="15.75" hidden="false" customHeight="true" outlineLevel="0" collapsed="false">
      <c r="B37" s="4" t="s">
        <v>28</v>
      </c>
    </row>
    <row r="38" customFormat="false" ht="15.75" hidden="false" customHeight="true" outlineLevel="0" collapsed="false">
      <c r="B38" s="3" t="s">
        <v>29</v>
      </c>
    </row>
    <row r="39" customFormat="false" ht="15.75" hidden="false" customHeight="true" outlineLevel="0" collapsed="false">
      <c r="B39" s="3" t="s">
        <v>30</v>
      </c>
    </row>
    <row r="40" customFormat="false" ht="15.75" hidden="false" customHeight="true" outlineLevel="0" collapsed="false">
      <c r="B40" s="3" t="s">
        <v>31</v>
      </c>
    </row>
    <row r="41" customFormat="false" ht="15.75" hidden="false" customHeight="true" outlineLevel="0" collapsed="false">
      <c r="B41" s="3"/>
    </row>
    <row r="42" customFormat="false" ht="15.75" hidden="false" customHeight="true" outlineLevel="0" collapsed="false">
      <c r="B42" s="3" t="s">
        <v>32</v>
      </c>
    </row>
    <row r="43" customFormat="false" ht="15.75" hidden="false" customHeight="true" outlineLevel="0" collapsed="false">
      <c r="B43" s="3" t="s">
        <v>33</v>
      </c>
    </row>
    <row r="45" customFormat="false" ht="15" hidden="false" customHeight="false" outlineLevel="0" collapsed="false">
      <c r="B45" s="5" t="s">
        <v>34</v>
      </c>
    </row>
    <row r="46" customFormat="false" ht="15" hidden="false" customHeight="false" outlineLevel="0" collapsed="false">
      <c r="B46" s="6" t="s">
        <v>35</v>
      </c>
    </row>
    <row r="47" customFormat="false" ht="15" hidden="false" customHeight="false" outlineLevel="0" collapsed="false">
      <c r="B47" s="7" t="s">
        <v>36</v>
      </c>
    </row>
    <row r="48" customFormat="false" ht="15" hidden="false" customHeight="false" outlineLevel="0" collapsed="false">
      <c r="B48" s="8" t="s">
        <v>37</v>
      </c>
    </row>
    <row r="49" customFormat="false" ht="15" hidden="false" customHeight="false" outlineLevel="0" collapsed="false">
      <c r="B49" s="9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3"/>
    <col collapsed="false" customWidth="true" hidden="false" outlineLevel="0" max="13" min="13" style="0" width="26"/>
  </cols>
  <sheetData>
    <row r="1" customFormat="false" ht="21.75" hidden="false" customHeight="true" outlineLevel="0" collapsed="false">
      <c r="A1" s="1" t="s">
        <v>39</v>
      </c>
    </row>
    <row r="2" customFormat="false" ht="15" hidden="false" customHeight="false" outlineLevel="0" collapsed="false">
      <c r="A2" s="10" t="s">
        <v>40</v>
      </c>
      <c r="D2" s="11" t="n">
        <f aca="false">SUMIF(M5:M204,"offen — noch nicht erstattet",F5:F204)</f>
        <v>0</v>
      </c>
      <c r="E2" s="10" t="s">
        <v>41</v>
      </c>
      <c r="G2" s="11" t="n">
        <f aca="false">SUMIF(K5:K204,"ja*",H5:H204)</f>
        <v>0</v>
      </c>
    </row>
    <row r="4" customFormat="false" ht="30" hidden="false" customHeight="true" outlineLevel="0" collapsed="false">
      <c r="A4" s="12" t="s">
        <v>42</v>
      </c>
      <c r="B4" s="12" t="s">
        <v>43</v>
      </c>
      <c r="C4" s="12" t="s">
        <v>44</v>
      </c>
      <c r="D4" s="12" t="s">
        <v>45</v>
      </c>
      <c r="E4" s="12" t="s">
        <v>46</v>
      </c>
      <c r="F4" s="12" t="s">
        <v>47</v>
      </c>
      <c r="G4" s="12" t="s">
        <v>48</v>
      </c>
      <c r="H4" s="12" t="s">
        <v>49</v>
      </c>
      <c r="I4" s="12" t="s">
        <v>50</v>
      </c>
      <c r="J4" s="12" t="s">
        <v>51</v>
      </c>
      <c r="K4" s="12" t="s">
        <v>52</v>
      </c>
      <c r="L4" s="12" t="s">
        <v>53</v>
      </c>
      <c r="M4" s="12" t="s">
        <v>54</v>
      </c>
    </row>
    <row r="5" customFormat="false" ht="15" hidden="false" customHeight="false" outlineLevel="0" collapsed="false">
      <c r="A5" s="6"/>
      <c r="B5" s="13"/>
      <c r="C5" s="6"/>
      <c r="D5" s="6"/>
      <c r="E5" s="6"/>
      <c r="F5" s="14"/>
      <c r="G5" s="15" t="n">
        <v>0.19</v>
      </c>
      <c r="H5" s="16" t="str">
        <f aca="false">IF(OR(F5="",G5=""),"",ROUND(F5-F5/(1+G5),2))</f>
        <v/>
      </c>
      <c r="I5" s="16" t="str">
        <f aca="false">IF(F5="","",ROUND(F5-H5,2))</f>
        <v/>
      </c>
      <c r="J5" s="6"/>
      <c r="K5" s="17" t="str">
        <f aca="false">IF(F5="","",IF(F5&lt;=250,"ja — Kleinbetrag",IF(J5="Firma","ja","NEIN — Beleg umschreiben lassen")))</f>
        <v/>
      </c>
      <c r="L5" s="13"/>
      <c r="M5" s="17" t="str">
        <f aca="false">IF(F5="","",IF(E5="Kraftstoff Privat-Pkw","NICHT BUCHEN — km-Pauschale nutzen",IF(E5="Private Kleidung","NICHT ABZUGSFAEHIG (§ 12 Nr. 1 EStG)",IF(L5="","offen — noch nicht erstattet","erledigt"))))</f>
        <v/>
      </c>
    </row>
    <row r="6" customFormat="false" ht="15" hidden="false" customHeight="false" outlineLevel="0" collapsed="false">
      <c r="A6" s="6"/>
      <c r="B6" s="13"/>
      <c r="C6" s="6"/>
      <c r="D6" s="6"/>
      <c r="E6" s="6"/>
      <c r="F6" s="14"/>
      <c r="G6" s="15" t="n">
        <v>0.19</v>
      </c>
      <c r="H6" s="16" t="str">
        <f aca="false">IF(OR(F6="",G6=""),"",ROUND(F6-F6/(1+G6),2))</f>
        <v/>
      </c>
      <c r="I6" s="16" t="str">
        <f aca="false">IF(F6="","",ROUND(F6-H6,2))</f>
        <v/>
      </c>
      <c r="J6" s="6"/>
      <c r="K6" s="17" t="str">
        <f aca="false">IF(F6="","",IF(F6&lt;=250,"ja — Kleinbetrag",IF(J6="Firma","ja","NEIN — Beleg umschreiben lassen")))</f>
        <v/>
      </c>
      <c r="L6" s="13"/>
      <c r="M6" s="17" t="str">
        <f aca="false">IF(F6="","",IF(E6="Kraftstoff Privat-Pkw","NICHT BUCHEN — km-Pauschale nutzen",IF(E6="Private Kleidung","NICHT ABZUGSFAEHIG (§ 12 Nr. 1 EStG)",IF(L6="","offen — noch nicht erstattet","erledigt"))))</f>
        <v/>
      </c>
    </row>
    <row r="7" customFormat="false" ht="15" hidden="false" customHeight="false" outlineLevel="0" collapsed="false">
      <c r="A7" s="6"/>
      <c r="B7" s="13"/>
      <c r="C7" s="6"/>
      <c r="D7" s="6"/>
      <c r="E7" s="6"/>
      <c r="F7" s="14"/>
      <c r="G7" s="15" t="n">
        <v>0.19</v>
      </c>
      <c r="H7" s="16" t="str">
        <f aca="false">IF(OR(F7="",G7=""),"",ROUND(F7-F7/(1+G7),2))</f>
        <v/>
      </c>
      <c r="I7" s="16" t="str">
        <f aca="false">IF(F7="","",ROUND(F7-H7,2))</f>
        <v/>
      </c>
      <c r="J7" s="6"/>
      <c r="K7" s="17" t="str">
        <f aca="false">IF(F7="","",IF(F7&lt;=250,"ja — Kleinbetrag",IF(J7="Firma","ja","NEIN — Beleg umschreiben lassen")))</f>
        <v/>
      </c>
      <c r="L7" s="13"/>
      <c r="M7" s="17" t="str">
        <f aca="false">IF(F7="","",IF(E7="Kraftstoff Privat-Pkw","NICHT BUCHEN — km-Pauschale nutzen",IF(E7="Private Kleidung","NICHT ABZUGSFAEHIG (§ 12 Nr. 1 EStG)",IF(L7="","offen — noch nicht erstattet","erledigt"))))</f>
        <v/>
      </c>
    </row>
    <row r="8" customFormat="false" ht="15" hidden="false" customHeight="false" outlineLevel="0" collapsed="false">
      <c r="A8" s="6"/>
      <c r="B8" s="13"/>
      <c r="C8" s="6"/>
      <c r="D8" s="6"/>
      <c r="E8" s="6"/>
      <c r="F8" s="14"/>
      <c r="G8" s="15" t="n">
        <v>0.19</v>
      </c>
      <c r="H8" s="16" t="str">
        <f aca="false">IF(OR(F8="",G8=""),"",ROUND(F8-F8/(1+G8),2))</f>
        <v/>
      </c>
      <c r="I8" s="16" t="str">
        <f aca="false">IF(F8="","",ROUND(F8-H8,2))</f>
        <v/>
      </c>
      <c r="J8" s="6"/>
      <c r="K8" s="17" t="str">
        <f aca="false">IF(F8="","",IF(F8&lt;=250,"ja — Kleinbetrag",IF(J8="Firma","ja","NEIN — Beleg umschreiben lassen")))</f>
        <v/>
      </c>
      <c r="L8" s="13"/>
      <c r="M8" s="17" t="str">
        <f aca="false">IF(F8="","",IF(E8="Kraftstoff Privat-Pkw","NICHT BUCHEN — km-Pauschale nutzen",IF(E8="Private Kleidung","NICHT ABZUGSFAEHIG (§ 12 Nr. 1 EStG)",IF(L8="","offen — noch nicht erstattet","erledigt"))))</f>
        <v/>
      </c>
    </row>
    <row r="9" customFormat="false" ht="15" hidden="false" customHeight="false" outlineLevel="0" collapsed="false">
      <c r="A9" s="6"/>
      <c r="B9" s="13"/>
      <c r="C9" s="6"/>
      <c r="D9" s="6"/>
      <c r="E9" s="6"/>
      <c r="F9" s="14"/>
      <c r="G9" s="15" t="n">
        <v>0.19</v>
      </c>
      <c r="H9" s="16" t="str">
        <f aca="false">IF(OR(F9="",G9=""),"",ROUND(F9-F9/(1+G9),2))</f>
        <v/>
      </c>
      <c r="I9" s="16" t="str">
        <f aca="false">IF(F9="","",ROUND(F9-H9,2))</f>
        <v/>
      </c>
      <c r="J9" s="6"/>
      <c r="K9" s="17" t="str">
        <f aca="false">IF(F9="","",IF(F9&lt;=250,"ja — Kleinbetrag",IF(J9="Firma","ja","NEIN — Beleg umschreiben lassen")))</f>
        <v/>
      </c>
      <c r="L9" s="13"/>
      <c r="M9" s="17" t="str">
        <f aca="false">IF(F9="","",IF(E9="Kraftstoff Privat-Pkw","NICHT BUCHEN — km-Pauschale nutzen",IF(E9="Private Kleidung","NICHT ABZUGSFAEHIG (§ 12 Nr. 1 EStG)",IF(L9="","offen — noch nicht erstattet","erledigt"))))</f>
        <v/>
      </c>
    </row>
    <row r="10" customFormat="false" ht="15" hidden="false" customHeight="false" outlineLevel="0" collapsed="false">
      <c r="A10" s="6"/>
      <c r="B10" s="13"/>
      <c r="C10" s="6"/>
      <c r="D10" s="6"/>
      <c r="E10" s="6"/>
      <c r="F10" s="14"/>
      <c r="G10" s="15" t="n">
        <v>0.19</v>
      </c>
      <c r="H10" s="16" t="str">
        <f aca="false">IF(OR(F10="",G10=""),"",ROUND(F10-F10/(1+G10),2))</f>
        <v/>
      </c>
      <c r="I10" s="16" t="str">
        <f aca="false">IF(F10="","",ROUND(F10-H10,2))</f>
        <v/>
      </c>
      <c r="J10" s="6"/>
      <c r="K10" s="17" t="str">
        <f aca="false">IF(F10="","",IF(F10&lt;=250,"ja — Kleinbetrag",IF(J10="Firma","ja","NEIN — Beleg umschreiben lassen")))</f>
        <v/>
      </c>
      <c r="L10" s="13"/>
      <c r="M10" s="17" t="str">
        <f aca="false">IF(F10="","",IF(E10="Kraftstoff Privat-Pkw","NICHT BUCHEN — km-Pauschale nutzen",IF(E10="Private Kleidung","NICHT ABZUGSFAEHIG (§ 12 Nr. 1 EStG)",IF(L10="","offen — noch nicht erstattet","erledigt"))))</f>
        <v/>
      </c>
    </row>
    <row r="11" customFormat="false" ht="15" hidden="false" customHeight="false" outlineLevel="0" collapsed="false">
      <c r="A11" s="6"/>
      <c r="B11" s="13"/>
      <c r="C11" s="6"/>
      <c r="D11" s="6"/>
      <c r="E11" s="6"/>
      <c r="F11" s="14"/>
      <c r="G11" s="15" t="n">
        <v>0.19</v>
      </c>
      <c r="H11" s="16" t="str">
        <f aca="false">IF(OR(F11="",G11=""),"",ROUND(F11-F11/(1+G11),2))</f>
        <v/>
      </c>
      <c r="I11" s="16" t="str">
        <f aca="false">IF(F11="","",ROUND(F11-H11,2))</f>
        <v/>
      </c>
      <c r="J11" s="6"/>
      <c r="K11" s="17" t="str">
        <f aca="false">IF(F11="","",IF(F11&lt;=250,"ja — Kleinbetrag",IF(J11="Firma","ja","NEIN — Beleg umschreiben lassen")))</f>
        <v/>
      </c>
      <c r="L11" s="13"/>
      <c r="M11" s="17" t="str">
        <f aca="false">IF(F11="","",IF(E11="Kraftstoff Privat-Pkw","NICHT BUCHEN — km-Pauschale nutzen",IF(E11="Private Kleidung","NICHT ABZUGSFAEHIG (§ 12 Nr. 1 EStG)",IF(L11="","offen — noch nicht erstattet","erledigt"))))</f>
        <v/>
      </c>
    </row>
    <row r="12" customFormat="false" ht="15" hidden="false" customHeight="false" outlineLevel="0" collapsed="false">
      <c r="A12" s="6"/>
      <c r="B12" s="13"/>
      <c r="C12" s="6"/>
      <c r="D12" s="6"/>
      <c r="E12" s="6"/>
      <c r="F12" s="14"/>
      <c r="G12" s="15" t="n">
        <v>0.19</v>
      </c>
      <c r="H12" s="16" t="str">
        <f aca="false">IF(OR(F12="",G12=""),"",ROUND(F12-F12/(1+G12),2))</f>
        <v/>
      </c>
      <c r="I12" s="16" t="str">
        <f aca="false">IF(F12="","",ROUND(F12-H12,2))</f>
        <v/>
      </c>
      <c r="J12" s="6"/>
      <c r="K12" s="17" t="str">
        <f aca="false">IF(F12="","",IF(F12&lt;=250,"ja — Kleinbetrag",IF(J12="Firma","ja","NEIN — Beleg umschreiben lassen")))</f>
        <v/>
      </c>
      <c r="L12" s="13"/>
      <c r="M12" s="17" t="str">
        <f aca="false">IF(F12="","",IF(E12="Kraftstoff Privat-Pkw","NICHT BUCHEN — km-Pauschale nutzen",IF(E12="Private Kleidung","NICHT ABZUGSFAEHIG (§ 12 Nr. 1 EStG)",IF(L12="","offen — noch nicht erstattet","erledigt"))))</f>
        <v/>
      </c>
    </row>
    <row r="13" customFormat="false" ht="15" hidden="false" customHeight="false" outlineLevel="0" collapsed="false">
      <c r="A13" s="6"/>
      <c r="B13" s="13"/>
      <c r="C13" s="6"/>
      <c r="D13" s="6"/>
      <c r="E13" s="6"/>
      <c r="F13" s="14"/>
      <c r="G13" s="15" t="n">
        <v>0.19</v>
      </c>
      <c r="H13" s="16" t="str">
        <f aca="false">IF(OR(F13="",G13=""),"",ROUND(F13-F13/(1+G13),2))</f>
        <v/>
      </c>
      <c r="I13" s="16" t="str">
        <f aca="false">IF(F13="","",ROUND(F13-H13,2))</f>
        <v/>
      </c>
      <c r="J13" s="6"/>
      <c r="K13" s="17" t="str">
        <f aca="false">IF(F13="","",IF(F13&lt;=250,"ja — Kleinbetrag",IF(J13="Firma","ja","NEIN — Beleg umschreiben lassen")))</f>
        <v/>
      </c>
      <c r="L13" s="13"/>
      <c r="M13" s="17" t="str">
        <f aca="false">IF(F13="","",IF(E13="Kraftstoff Privat-Pkw","NICHT BUCHEN — km-Pauschale nutzen",IF(E13="Private Kleidung","NICHT ABZUGSFAEHIG (§ 12 Nr. 1 EStG)",IF(L13="","offen — noch nicht erstattet","erledigt"))))</f>
        <v/>
      </c>
    </row>
    <row r="14" customFormat="false" ht="15" hidden="false" customHeight="false" outlineLevel="0" collapsed="false">
      <c r="A14" s="6"/>
      <c r="B14" s="13"/>
      <c r="C14" s="6"/>
      <c r="D14" s="6"/>
      <c r="E14" s="6"/>
      <c r="F14" s="14"/>
      <c r="G14" s="15" t="n">
        <v>0.19</v>
      </c>
      <c r="H14" s="16" t="str">
        <f aca="false">IF(OR(F14="",G14=""),"",ROUND(F14-F14/(1+G14),2))</f>
        <v/>
      </c>
      <c r="I14" s="16" t="str">
        <f aca="false">IF(F14="","",ROUND(F14-H14,2))</f>
        <v/>
      </c>
      <c r="J14" s="6"/>
      <c r="K14" s="17" t="str">
        <f aca="false">IF(F14="","",IF(F14&lt;=250,"ja — Kleinbetrag",IF(J14="Firma","ja","NEIN — Beleg umschreiben lassen")))</f>
        <v/>
      </c>
      <c r="L14" s="13"/>
      <c r="M14" s="17" t="str">
        <f aca="false">IF(F14="","",IF(E14="Kraftstoff Privat-Pkw","NICHT BUCHEN — km-Pauschale nutzen",IF(E14="Private Kleidung","NICHT ABZUGSFAEHIG (§ 12 Nr. 1 EStG)",IF(L14="","offen — noch nicht erstattet","erledigt"))))</f>
        <v/>
      </c>
    </row>
    <row r="15" customFormat="false" ht="15" hidden="false" customHeight="false" outlineLevel="0" collapsed="false">
      <c r="A15" s="6"/>
      <c r="B15" s="13"/>
      <c r="C15" s="6"/>
      <c r="D15" s="6"/>
      <c r="E15" s="6"/>
      <c r="F15" s="14"/>
      <c r="G15" s="15" t="n">
        <v>0.19</v>
      </c>
      <c r="H15" s="16" t="str">
        <f aca="false">IF(OR(F15="",G15=""),"",ROUND(F15-F15/(1+G15),2))</f>
        <v/>
      </c>
      <c r="I15" s="16" t="str">
        <f aca="false">IF(F15="","",ROUND(F15-H15,2))</f>
        <v/>
      </c>
      <c r="J15" s="6"/>
      <c r="K15" s="17" t="str">
        <f aca="false">IF(F15="","",IF(F15&lt;=250,"ja — Kleinbetrag",IF(J15="Firma","ja","NEIN — Beleg umschreiben lassen")))</f>
        <v/>
      </c>
      <c r="L15" s="13"/>
      <c r="M15" s="17" t="str">
        <f aca="false">IF(F15="","",IF(E15="Kraftstoff Privat-Pkw","NICHT BUCHEN — km-Pauschale nutzen",IF(E15="Private Kleidung","NICHT ABZUGSFAEHIG (§ 12 Nr. 1 EStG)",IF(L15="","offen — noch nicht erstattet","erledigt"))))</f>
        <v/>
      </c>
    </row>
    <row r="16" customFormat="false" ht="15" hidden="false" customHeight="false" outlineLevel="0" collapsed="false">
      <c r="A16" s="6"/>
      <c r="B16" s="13"/>
      <c r="C16" s="6"/>
      <c r="D16" s="6"/>
      <c r="E16" s="6"/>
      <c r="F16" s="14"/>
      <c r="G16" s="15" t="n">
        <v>0.19</v>
      </c>
      <c r="H16" s="16" t="str">
        <f aca="false">IF(OR(F16="",G16=""),"",ROUND(F16-F16/(1+G16),2))</f>
        <v/>
      </c>
      <c r="I16" s="16" t="str">
        <f aca="false">IF(F16="","",ROUND(F16-H16,2))</f>
        <v/>
      </c>
      <c r="J16" s="6"/>
      <c r="K16" s="17" t="str">
        <f aca="false">IF(F16="","",IF(F16&lt;=250,"ja — Kleinbetrag",IF(J16="Firma","ja","NEIN — Beleg umschreiben lassen")))</f>
        <v/>
      </c>
      <c r="L16" s="13"/>
      <c r="M16" s="17" t="str">
        <f aca="false">IF(F16="","",IF(E16="Kraftstoff Privat-Pkw","NICHT BUCHEN — km-Pauschale nutzen",IF(E16="Private Kleidung","NICHT ABZUGSFAEHIG (§ 12 Nr. 1 EStG)",IF(L16="","offen — noch nicht erstattet","erledigt"))))</f>
        <v/>
      </c>
    </row>
    <row r="17" customFormat="false" ht="15" hidden="false" customHeight="false" outlineLevel="0" collapsed="false">
      <c r="A17" s="6"/>
      <c r="B17" s="13"/>
      <c r="C17" s="6"/>
      <c r="D17" s="6"/>
      <c r="E17" s="6"/>
      <c r="F17" s="14"/>
      <c r="G17" s="15" t="n">
        <v>0.19</v>
      </c>
      <c r="H17" s="16" t="str">
        <f aca="false">IF(OR(F17="",G17=""),"",ROUND(F17-F17/(1+G17),2))</f>
        <v/>
      </c>
      <c r="I17" s="16" t="str">
        <f aca="false">IF(F17="","",ROUND(F17-H17,2))</f>
        <v/>
      </c>
      <c r="J17" s="6"/>
      <c r="K17" s="17" t="str">
        <f aca="false">IF(F17="","",IF(F17&lt;=250,"ja — Kleinbetrag",IF(J17="Firma","ja","NEIN — Beleg umschreiben lassen")))</f>
        <v/>
      </c>
      <c r="L17" s="13"/>
      <c r="M17" s="17" t="str">
        <f aca="false">IF(F17="","",IF(E17="Kraftstoff Privat-Pkw","NICHT BUCHEN — km-Pauschale nutzen",IF(E17="Private Kleidung","NICHT ABZUGSFAEHIG (§ 12 Nr. 1 EStG)",IF(L17="","offen — noch nicht erstattet","erledigt"))))</f>
        <v/>
      </c>
    </row>
    <row r="18" customFormat="false" ht="15" hidden="false" customHeight="false" outlineLevel="0" collapsed="false">
      <c r="A18" s="6"/>
      <c r="B18" s="13"/>
      <c r="C18" s="6"/>
      <c r="D18" s="6"/>
      <c r="E18" s="6"/>
      <c r="F18" s="14"/>
      <c r="G18" s="15" t="n">
        <v>0.19</v>
      </c>
      <c r="H18" s="16" t="str">
        <f aca="false">IF(OR(F18="",G18=""),"",ROUND(F18-F18/(1+G18),2))</f>
        <v/>
      </c>
      <c r="I18" s="16" t="str">
        <f aca="false">IF(F18="","",ROUND(F18-H18,2))</f>
        <v/>
      </c>
      <c r="J18" s="6"/>
      <c r="K18" s="17" t="str">
        <f aca="false">IF(F18="","",IF(F18&lt;=250,"ja — Kleinbetrag",IF(J18="Firma","ja","NEIN — Beleg umschreiben lassen")))</f>
        <v/>
      </c>
      <c r="L18" s="13"/>
      <c r="M18" s="17" t="str">
        <f aca="false">IF(F18="","",IF(E18="Kraftstoff Privat-Pkw","NICHT BUCHEN — km-Pauschale nutzen",IF(E18="Private Kleidung","NICHT ABZUGSFAEHIG (§ 12 Nr. 1 EStG)",IF(L18="","offen — noch nicht erstattet","erledigt"))))</f>
        <v/>
      </c>
    </row>
    <row r="19" customFormat="false" ht="15" hidden="false" customHeight="false" outlineLevel="0" collapsed="false">
      <c r="A19" s="6"/>
      <c r="B19" s="13"/>
      <c r="C19" s="6"/>
      <c r="D19" s="6"/>
      <c r="E19" s="6"/>
      <c r="F19" s="14"/>
      <c r="G19" s="15" t="n">
        <v>0.19</v>
      </c>
      <c r="H19" s="16" t="str">
        <f aca="false">IF(OR(F19="",G19=""),"",ROUND(F19-F19/(1+G19),2))</f>
        <v/>
      </c>
      <c r="I19" s="16" t="str">
        <f aca="false">IF(F19="","",ROUND(F19-H19,2))</f>
        <v/>
      </c>
      <c r="J19" s="6"/>
      <c r="K19" s="17" t="str">
        <f aca="false">IF(F19="","",IF(F19&lt;=250,"ja — Kleinbetrag",IF(J19="Firma","ja","NEIN — Beleg umschreiben lassen")))</f>
        <v/>
      </c>
      <c r="L19" s="13"/>
      <c r="M19" s="17" t="str">
        <f aca="false">IF(F19="","",IF(E19="Kraftstoff Privat-Pkw","NICHT BUCHEN — km-Pauschale nutzen",IF(E19="Private Kleidung","NICHT ABZUGSFAEHIG (§ 12 Nr. 1 EStG)",IF(L19="","offen — noch nicht erstattet","erledigt"))))</f>
        <v/>
      </c>
    </row>
    <row r="20" customFormat="false" ht="15" hidden="false" customHeight="false" outlineLevel="0" collapsed="false">
      <c r="A20" s="6"/>
      <c r="B20" s="13"/>
      <c r="C20" s="6"/>
      <c r="D20" s="6"/>
      <c r="E20" s="6"/>
      <c r="F20" s="14"/>
      <c r="G20" s="15" t="n">
        <v>0.19</v>
      </c>
      <c r="H20" s="16" t="str">
        <f aca="false">IF(OR(F20="",G20=""),"",ROUND(F20-F20/(1+G20),2))</f>
        <v/>
      </c>
      <c r="I20" s="16" t="str">
        <f aca="false">IF(F20="","",ROUND(F20-H20,2))</f>
        <v/>
      </c>
      <c r="J20" s="6"/>
      <c r="K20" s="17" t="str">
        <f aca="false">IF(F20="","",IF(F20&lt;=250,"ja — Kleinbetrag",IF(J20="Firma","ja","NEIN — Beleg umschreiben lassen")))</f>
        <v/>
      </c>
      <c r="L20" s="13"/>
      <c r="M20" s="17" t="str">
        <f aca="false">IF(F20="","",IF(E20="Kraftstoff Privat-Pkw","NICHT BUCHEN — km-Pauschale nutzen",IF(E20="Private Kleidung","NICHT ABZUGSFAEHIG (§ 12 Nr. 1 EStG)",IF(L20="","offen — noch nicht erstattet","erledigt"))))</f>
        <v/>
      </c>
    </row>
    <row r="21" customFormat="false" ht="15" hidden="false" customHeight="false" outlineLevel="0" collapsed="false">
      <c r="A21" s="6"/>
      <c r="B21" s="13"/>
      <c r="C21" s="6"/>
      <c r="D21" s="6"/>
      <c r="E21" s="6"/>
      <c r="F21" s="14"/>
      <c r="G21" s="15" t="n">
        <v>0.19</v>
      </c>
      <c r="H21" s="16" t="str">
        <f aca="false">IF(OR(F21="",G21=""),"",ROUND(F21-F21/(1+G21),2))</f>
        <v/>
      </c>
      <c r="I21" s="16" t="str">
        <f aca="false">IF(F21="","",ROUND(F21-H21,2))</f>
        <v/>
      </c>
      <c r="J21" s="6"/>
      <c r="K21" s="17" t="str">
        <f aca="false">IF(F21="","",IF(F21&lt;=250,"ja — Kleinbetrag",IF(J21="Firma","ja","NEIN — Beleg umschreiben lassen")))</f>
        <v/>
      </c>
      <c r="L21" s="13"/>
      <c r="M21" s="17" t="str">
        <f aca="false">IF(F21="","",IF(E21="Kraftstoff Privat-Pkw","NICHT BUCHEN — km-Pauschale nutzen",IF(E21="Private Kleidung","NICHT ABZUGSFAEHIG (§ 12 Nr. 1 EStG)",IF(L21="","offen — noch nicht erstattet","erledigt"))))</f>
        <v/>
      </c>
    </row>
    <row r="22" customFormat="false" ht="15" hidden="false" customHeight="false" outlineLevel="0" collapsed="false">
      <c r="A22" s="6"/>
      <c r="B22" s="13"/>
      <c r="C22" s="6"/>
      <c r="D22" s="6"/>
      <c r="E22" s="6"/>
      <c r="F22" s="14"/>
      <c r="G22" s="15" t="n">
        <v>0.19</v>
      </c>
      <c r="H22" s="16" t="str">
        <f aca="false">IF(OR(F22="",G22=""),"",ROUND(F22-F22/(1+G22),2))</f>
        <v/>
      </c>
      <c r="I22" s="16" t="str">
        <f aca="false">IF(F22="","",ROUND(F22-H22,2))</f>
        <v/>
      </c>
      <c r="J22" s="6"/>
      <c r="K22" s="17" t="str">
        <f aca="false">IF(F22="","",IF(F22&lt;=250,"ja — Kleinbetrag",IF(J22="Firma","ja","NEIN — Beleg umschreiben lassen")))</f>
        <v/>
      </c>
      <c r="L22" s="13"/>
      <c r="M22" s="17" t="str">
        <f aca="false">IF(F22="","",IF(E22="Kraftstoff Privat-Pkw","NICHT BUCHEN — km-Pauschale nutzen",IF(E22="Private Kleidung","NICHT ABZUGSFAEHIG (§ 12 Nr. 1 EStG)",IF(L22="","offen — noch nicht erstattet","erledigt"))))</f>
        <v/>
      </c>
    </row>
    <row r="23" customFormat="false" ht="15" hidden="false" customHeight="false" outlineLevel="0" collapsed="false">
      <c r="A23" s="6"/>
      <c r="B23" s="13"/>
      <c r="C23" s="6"/>
      <c r="D23" s="6"/>
      <c r="E23" s="6"/>
      <c r="F23" s="14"/>
      <c r="G23" s="15" t="n">
        <v>0.19</v>
      </c>
      <c r="H23" s="16" t="str">
        <f aca="false">IF(OR(F23="",G23=""),"",ROUND(F23-F23/(1+G23),2))</f>
        <v/>
      </c>
      <c r="I23" s="16" t="str">
        <f aca="false">IF(F23="","",ROUND(F23-H23,2))</f>
        <v/>
      </c>
      <c r="J23" s="6"/>
      <c r="K23" s="17" t="str">
        <f aca="false">IF(F23="","",IF(F23&lt;=250,"ja — Kleinbetrag",IF(J23="Firma","ja","NEIN — Beleg umschreiben lassen")))</f>
        <v/>
      </c>
      <c r="L23" s="13"/>
      <c r="M23" s="17" t="str">
        <f aca="false">IF(F23="","",IF(E23="Kraftstoff Privat-Pkw","NICHT BUCHEN — km-Pauschale nutzen",IF(E23="Private Kleidung","NICHT ABZUGSFAEHIG (§ 12 Nr. 1 EStG)",IF(L23="","offen — noch nicht erstattet","erledigt"))))</f>
        <v/>
      </c>
    </row>
    <row r="24" customFormat="false" ht="15" hidden="false" customHeight="false" outlineLevel="0" collapsed="false">
      <c r="A24" s="6"/>
      <c r="B24" s="13"/>
      <c r="C24" s="6"/>
      <c r="D24" s="6"/>
      <c r="E24" s="6"/>
      <c r="F24" s="14"/>
      <c r="G24" s="15" t="n">
        <v>0.19</v>
      </c>
      <c r="H24" s="16" t="str">
        <f aca="false">IF(OR(F24="",G24=""),"",ROUND(F24-F24/(1+G24),2))</f>
        <v/>
      </c>
      <c r="I24" s="16" t="str">
        <f aca="false">IF(F24="","",ROUND(F24-H24,2))</f>
        <v/>
      </c>
      <c r="J24" s="6"/>
      <c r="K24" s="17" t="str">
        <f aca="false">IF(F24="","",IF(F24&lt;=250,"ja — Kleinbetrag",IF(J24="Firma","ja","NEIN — Beleg umschreiben lassen")))</f>
        <v/>
      </c>
      <c r="L24" s="13"/>
      <c r="M24" s="17" t="str">
        <f aca="false">IF(F24="","",IF(E24="Kraftstoff Privat-Pkw","NICHT BUCHEN — km-Pauschale nutzen",IF(E24="Private Kleidung","NICHT ABZUGSFAEHIG (§ 12 Nr. 1 EStG)",IF(L24="","offen — noch nicht erstattet","erledigt"))))</f>
        <v/>
      </c>
    </row>
    <row r="25" customFormat="false" ht="15" hidden="false" customHeight="false" outlineLevel="0" collapsed="false">
      <c r="A25" s="6"/>
      <c r="B25" s="13"/>
      <c r="C25" s="6"/>
      <c r="D25" s="6"/>
      <c r="E25" s="6"/>
      <c r="F25" s="14"/>
      <c r="G25" s="15" t="n">
        <v>0.19</v>
      </c>
      <c r="H25" s="16" t="str">
        <f aca="false">IF(OR(F25="",G25=""),"",ROUND(F25-F25/(1+G25),2))</f>
        <v/>
      </c>
      <c r="I25" s="16" t="str">
        <f aca="false">IF(F25="","",ROUND(F25-H25,2))</f>
        <v/>
      </c>
      <c r="J25" s="6"/>
      <c r="K25" s="17" t="str">
        <f aca="false">IF(F25="","",IF(F25&lt;=250,"ja — Kleinbetrag",IF(J25="Firma","ja","NEIN — Beleg umschreiben lassen")))</f>
        <v/>
      </c>
      <c r="L25" s="13"/>
      <c r="M25" s="17" t="str">
        <f aca="false">IF(F25="","",IF(E25="Kraftstoff Privat-Pkw","NICHT BUCHEN — km-Pauschale nutzen",IF(E25="Private Kleidung","NICHT ABZUGSFAEHIG (§ 12 Nr. 1 EStG)",IF(L25="","offen — noch nicht erstattet","erledigt"))))</f>
        <v/>
      </c>
    </row>
    <row r="26" customFormat="false" ht="15" hidden="false" customHeight="false" outlineLevel="0" collapsed="false">
      <c r="A26" s="6"/>
      <c r="B26" s="13"/>
      <c r="C26" s="6"/>
      <c r="D26" s="6"/>
      <c r="E26" s="6"/>
      <c r="F26" s="14"/>
      <c r="G26" s="15" t="n">
        <v>0.19</v>
      </c>
      <c r="H26" s="16" t="str">
        <f aca="false">IF(OR(F26="",G26=""),"",ROUND(F26-F26/(1+G26),2))</f>
        <v/>
      </c>
      <c r="I26" s="16" t="str">
        <f aca="false">IF(F26="","",ROUND(F26-H26,2))</f>
        <v/>
      </c>
      <c r="J26" s="6"/>
      <c r="K26" s="17" t="str">
        <f aca="false">IF(F26="","",IF(F26&lt;=250,"ja — Kleinbetrag",IF(J26="Firma","ja","NEIN — Beleg umschreiben lassen")))</f>
        <v/>
      </c>
      <c r="L26" s="13"/>
      <c r="M26" s="17" t="str">
        <f aca="false">IF(F26="","",IF(E26="Kraftstoff Privat-Pkw","NICHT BUCHEN — km-Pauschale nutzen",IF(E26="Private Kleidung","NICHT ABZUGSFAEHIG (§ 12 Nr. 1 EStG)",IF(L26="","offen — noch nicht erstattet","erledigt"))))</f>
        <v/>
      </c>
    </row>
    <row r="27" customFormat="false" ht="15" hidden="false" customHeight="false" outlineLevel="0" collapsed="false">
      <c r="A27" s="6"/>
      <c r="B27" s="13"/>
      <c r="C27" s="6"/>
      <c r="D27" s="6"/>
      <c r="E27" s="6"/>
      <c r="F27" s="14"/>
      <c r="G27" s="15" t="n">
        <v>0.19</v>
      </c>
      <c r="H27" s="16" t="str">
        <f aca="false">IF(OR(F27="",G27=""),"",ROUND(F27-F27/(1+G27),2))</f>
        <v/>
      </c>
      <c r="I27" s="16" t="str">
        <f aca="false">IF(F27="","",ROUND(F27-H27,2))</f>
        <v/>
      </c>
      <c r="J27" s="6"/>
      <c r="K27" s="17" t="str">
        <f aca="false">IF(F27="","",IF(F27&lt;=250,"ja — Kleinbetrag",IF(J27="Firma","ja","NEIN — Beleg umschreiben lassen")))</f>
        <v/>
      </c>
      <c r="L27" s="13"/>
      <c r="M27" s="17" t="str">
        <f aca="false">IF(F27="","",IF(E27="Kraftstoff Privat-Pkw","NICHT BUCHEN — km-Pauschale nutzen",IF(E27="Private Kleidung","NICHT ABZUGSFAEHIG (§ 12 Nr. 1 EStG)",IF(L27="","offen — noch nicht erstattet","erledigt"))))</f>
        <v/>
      </c>
    </row>
    <row r="28" customFormat="false" ht="15" hidden="false" customHeight="false" outlineLevel="0" collapsed="false">
      <c r="A28" s="6"/>
      <c r="B28" s="13"/>
      <c r="C28" s="6"/>
      <c r="D28" s="6"/>
      <c r="E28" s="6"/>
      <c r="F28" s="14"/>
      <c r="G28" s="15" t="n">
        <v>0.19</v>
      </c>
      <c r="H28" s="16" t="str">
        <f aca="false">IF(OR(F28="",G28=""),"",ROUND(F28-F28/(1+G28),2))</f>
        <v/>
      </c>
      <c r="I28" s="16" t="str">
        <f aca="false">IF(F28="","",ROUND(F28-H28,2))</f>
        <v/>
      </c>
      <c r="J28" s="6"/>
      <c r="K28" s="17" t="str">
        <f aca="false">IF(F28="","",IF(F28&lt;=250,"ja — Kleinbetrag",IF(J28="Firma","ja","NEIN — Beleg umschreiben lassen")))</f>
        <v/>
      </c>
      <c r="L28" s="13"/>
      <c r="M28" s="17" t="str">
        <f aca="false">IF(F28="","",IF(E28="Kraftstoff Privat-Pkw","NICHT BUCHEN — km-Pauschale nutzen",IF(E28="Private Kleidung","NICHT ABZUGSFAEHIG (§ 12 Nr. 1 EStG)",IF(L28="","offen — noch nicht erstattet","erledigt"))))</f>
        <v/>
      </c>
    </row>
    <row r="29" customFormat="false" ht="15" hidden="false" customHeight="false" outlineLevel="0" collapsed="false">
      <c r="A29" s="6"/>
      <c r="B29" s="13"/>
      <c r="C29" s="6"/>
      <c r="D29" s="6"/>
      <c r="E29" s="6"/>
      <c r="F29" s="14"/>
      <c r="G29" s="15" t="n">
        <v>0.19</v>
      </c>
      <c r="H29" s="16" t="str">
        <f aca="false">IF(OR(F29="",G29=""),"",ROUND(F29-F29/(1+G29),2))</f>
        <v/>
      </c>
      <c r="I29" s="16" t="str">
        <f aca="false">IF(F29="","",ROUND(F29-H29,2))</f>
        <v/>
      </c>
      <c r="J29" s="6"/>
      <c r="K29" s="17" t="str">
        <f aca="false">IF(F29="","",IF(F29&lt;=250,"ja — Kleinbetrag",IF(J29="Firma","ja","NEIN — Beleg umschreiben lassen")))</f>
        <v/>
      </c>
      <c r="L29" s="13"/>
      <c r="M29" s="17" t="str">
        <f aca="false">IF(F29="","",IF(E29="Kraftstoff Privat-Pkw","NICHT BUCHEN — km-Pauschale nutzen",IF(E29="Private Kleidung","NICHT ABZUGSFAEHIG (§ 12 Nr. 1 EStG)",IF(L29="","offen — noch nicht erstattet","erledigt"))))</f>
        <v/>
      </c>
    </row>
    <row r="30" customFormat="false" ht="15" hidden="false" customHeight="false" outlineLevel="0" collapsed="false">
      <c r="A30" s="6"/>
      <c r="B30" s="13"/>
      <c r="C30" s="6"/>
      <c r="D30" s="6"/>
      <c r="E30" s="6"/>
      <c r="F30" s="14"/>
      <c r="G30" s="15" t="n">
        <v>0.19</v>
      </c>
      <c r="H30" s="16" t="str">
        <f aca="false">IF(OR(F30="",G30=""),"",ROUND(F30-F30/(1+G30),2))</f>
        <v/>
      </c>
      <c r="I30" s="16" t="str">
        <f aca="false">IF(F30="","",ROUND(F30-H30,2))</f>
        <v/>
      </c>
      <c r="J30" s="6"/>
      <c r="K30" s="17" t="str">
        <f aca="false">IF(F30="","",IF(F30&lt;=250,"ja — Kleinbetrag",IF(J30="Firma","ja","NEIN — Beleg umschreiben lassen")))</f>
        <v/>
      </c>
      <c r="L30" s="13"/>
      <c r="M30" s="17" t="str">
        <f aca="false">IF(F30="","",IF(E30="Kraftstoff Privat-Pkw","NICHT BUCHEN — km-Pauschale nutzen",IF(E30="Private Kleidung","NICHT ABZUGSFAEHIG (§ 12 Nr. 1 EStG)",IF(L30="","offen — noch nicht erstattet","erledigt"))))</f>
        <v/>
      </c>
    </row>
    <row r="31" customFormat="false" ht="15" hidden="false" customHeight="false" outlineLevel="0" collapsed="false">
      <c r="A31" s="6"/>
      <c r="B31" s="13"/>
      <c r="C31" s="6"/>
      <c r="D31" s="6"/>
      <c r="E31" s="6"/>
      <c r="F31" s="14"/>
      <c r="G31" s="15" t="n">
        <v>0.19</v>
      </c>
      <c r="H31" s="16" t="str">
        <f aca="false">IF(OR(F31="",G31=""),"",ROUND(F31-F31/(1+G31),2))</f>
        <v/>
      </c>
      <c r="I31" s="16" t="str">
        <f aca="false">IF(F31="","",ROUND(F31-H31,2))</f>
        <v/>
      </c>
      <c r="J31" s="6"/>
      <c r="K31" s="17" t="str">
        <f aca="false">IF(F31="","",IF(F31&lt;=250,"ja — Kleinbetrag",IF(J31="Firma","ja","NEIN — Beleg umschreiben lassen")))</f>
        <v/>
      </c>
      <c r="L31" s="13"/>
      <c r="M31" s="17" t="str">
        <f aca="false">IF(F31="","",IF(E31="Kraftstoff Privat-Pkw","NICHT BUCHEN — km-Pauschale nutzen",IF(E31="Private Kleidung","NICHT ABZUGSFAEHIG (§ 12 Nr. 1 EStG)",IF(L31="","offen — noch nicht erstattet","erledigt"))))</f>
        <v/>
      </c>
    </row>
    <row r="32" customFormat="false" ht="15" hidden="false" customHeight="false" outlineLevel="0" collapsed="false">
      <c r="A32" s="6"/>
      <c r="B32" s="13"/>
      <c r="C32" s="6"/>
      <c r="D32" s="6"/>
      <c r="E32" s="6"/>
      <c r="F32" s="14"/>
      <c r="G32" s="15" t="n">
        <v>0.19</v>
      </c>
      <c r="H32" s="16" t="str">
        <f aca="false">IF(OR(F32="",G32=""),"",ROUND(F32-F32/(1+G32),2))</f>
        <v/>
      </c>
      <c r="I32" s="16" t="str">
        <f aca="false">IF(F32="","",ROUND(F32-H32,2))</f>
        <v/>
      </c>
      <c r="J32" s="6"/>
      <c r="K32" s="17" t="str">
        <f aca="false">IF(F32="","",IF(F32&lt;=250,"ja — Kleinbetrag",IF(J32="Firma","ja","NEIN — Beleg umschreiben lassen")))</f>
        <v/>
      </c>
      <c r="L32" s="13"/>
      <c r="M32" s="17" t="str">
        <f aca="false">IF(F32="","",IF(E32="Kraftstoff Privat-Pkw","NICHT BUCHEN — km-Pauschale nutzen",IF(E32="Private Kleidung","NICHT ABZUGSFAEHIG (§ 12 Nr. 1 EStG)",IF(L32="","offen — noch nicht erstattet","erledigt"))))</f>
        <v/>
      </c>
    </row>
    <row r="33" customFormat="false" ht="15" hidden="false" customHeight="false" outlineLevel="0" collapsed="false">
      <c r="A33" s="6"/>
      <c r="B33" s="13"/>
      <c r="C33" s="6"/>
      <c r="D33" s="6"/>
      <c r="E33" s="6"/>
      <c r="F33" s="14"/>
      <c r="G33" s="15" t="n">
        <v>0.19</v>
      </c>
      <c r="H33" s="16" t="str">
        <f aca="false">IF(OR(F33="",G33=""),"",ROUND(F33-F33/(1+G33),2))</f>
        <v/>
      </c>
      <c r="I33" s="16" t="str">
        <f aca="false">IF(F33="","",ROUND(F33-H33,2))</f>
        <v/>
      </c>
      <c r="J33" s="6"/>
      <c r="K33" s="17" t="str">
        <f aca="false">IF(F33="","",IF(F33&lt;=250,"ja — Kleinbetrag",IF(J33="Firma","ja","NEIN — Beleg umschreiben lassen")))</f>
        <v/>
      </c>
      <c r="L33" s="13"/>
      <c r="M33" s="17" t="str">
        <f aca="false">IF(F33="","",IF(E33="Kraftstoff Privat-Pkw","NICHT BUCHEN — km-Pauschale nutzen",IF(E33="Private Kleidung","NICHT ABZUGSFAEHIG (§ 12 Nr. 1 EStG)",IF(L33="","offen — noch nicht erstattet","erledigt"))))</f>
        <v/>
      </c>
    </row>
    <row r="34" customFormat="false" ht="15" hidden="false" customHeight="false" outlineLevel="0" collapsed="false">
      <c r="A34" s="6"/>
      <c r="B34" s="13"/>
      <c r="C34" s="6"/>
      <c r="D34" s="6"/>
      <c r="E34" s="6"/>
      <c r="F34" s="14"/>
      <c r="G34" s="15" t="n">
        <v>0.19</v>
      </c>
      <c r="H34" s="16" t="str">
        <f aca="false">IF(OR(F34="",G34=""),"",ROUND(F34-F34/(1+G34),2))</f>
        <v/>
      </c>
      <c r="I34" s="16" t="str">
        <f aca="false">IF(F34="","",ROUND(F34-H34,2))</f>
        <v/>
      </c>
      <c r="J34" s="6"/>
      <c r="K34" s="17" t="str">
        <f aca="false">IF(F34="","",IF(F34&lt;=250,"ja — Kleinbetrag",IF(J34="Firma","ja","NEIN — Beleg umschreiben lassen")))</f>
        <v/>
      </c>
      <c r="L34" s="13"/>
      <c r="M34" s="17" t="str">
        <f aca="false">IF(F34="","",IF(E34="Kraftstoff Privat-Pkw","NICHT BUCHEN — km-Pauschale nutzen",IF(E34="Private Kleidung","NICHT ABZUGSFAEHIG (§ 12 Nr. 1 EStG)",IF(L34="","offen — noch nicht erstattet","erledigt"))))</f>
        <v/>
      </c>
    </row>
    <row r="35" customFormat="false" ht="15" hidden="false" customHeight="false" outlineLevel="0" collapsed="false">
      <c r="A35" s="6"/>
      <c r="B35" s="13"/>
      <c r="C35" s="6"/>
      <c r="D35" s="6"/>
      <c r="E35" s="6"/>
      <c r="F35" s="14"/>
      <c r="G35" s="15" t="n">
        <v>0.19</v>
      </c>
      <c r="H35" s="16" t="str">
        <f aca="false">IF(OR(F35="",G35=""),"",ROUND(F35-F35/(1+G35),2))</f>
        <v/>
      </c>
      <c r="I35" s="16" t="str">
        <f aca="false">IF(F35="","",ROUND(F35-H35,2))</f>
        <v/>
      </c>
      <c r="J35" s="6"/>
      <c r="K35" s="17" t="str">
        <f aca="false">IF(F35="","",IF(F35&lt;=250,"ja — Kleinbetrag",IF(J35="Firma","ja","NEIN — Beleg umschreiben lassen")))</f>
        <v/>
      </c>
      <c r="L35" s="13"/>
      <c r="M35" s="17" t="str">
        <f aca="false">IF(F35="","",IF(E35="Kraftstoff Privat-Pkw","NICHT BUCHEN — km-Pauschale nutzen",IF(E35="Private Kleidung","NICHT ABZUGSFAEHIG (§ 12 Nr. 1 EStG)",IF(L35="","offen — noch nicht erstattet","erledigt"))))</f>
        <v/>
      </c>
    </row>
    <row r="36" customFormat="false" ht="15" hidden="false" customHeight="false" outlineLevel="0" collapsed="false">
      <c r="A36" s="6"/>
      <c r="B36" s="13"/>
      <c r="C36" s="6"/>
      <c r="D36" s="6"/>
      <c r="E36" s="6"/>
      <c r="F36" s="14"/>
      <c r="G36" s="15" t="n">
        <v>0.19</v>
      </c>
      <c r="H36" s="16" t="str">
        <f aca="false">IF(OR(F36="",G36=""),"",ROUND(F36-F36/(1+G36),2))</f>
        <v/>
      </c>
      <c r="I36" s="16" t="str">
        <f aca="false">IF(F36="","",ROUND(F36-H36,2))</f>
        <v/>
      </c>
      <c r="J36" s="6"/>
      <c r="K36" s="17" t="str">
        <f aca="false">IF(F36="","",IF(F36&lt;=250,"ja — Kleinbetrag",IF(J36="Firma","ja","NEIN — Beleg umschreiben lassen")))</f>
        <v/>
      </c>
      <c r="L36" s="13"/>
      <c r="M36" s="17" t="str">
        <f aca="false">IF(F36="","",IF(E36="Kraftstoff Privat-Pkw","NICHT BUCHEN — km-Pauschale nutzen",IF(E36="Private Kleidung","NICHT ABZUGSFAEHIG (§ 12 Nr. 1 EStG)",IF(L36="","offen — noch nicht erstattet","erledigt"))))</f>
        <v/>
      </c>
    </row>
    <row r="37" customFormat="false" ht="15" hidden="false" customHeight="false" outlineLevel="0" collapsed="false">
      <c r="A37" s="6"/>
      <c r="B37" s="13"/>
      <c r="C37" s="6"/>
      <c r="D37" s="6"/>
      <c r="E37" s="6"/>
      <c r="F37" s="14"/>
      <c r="G37" s="15" t="n">
        <v>0.19</v>
      </c>
      <c r="H37" s="16" t="str">
        <f aca="false">IF(OR(F37="",G37=""),"",ROUND(F37-F37/(1+G37),2))</f>
        <v/>
      </c>
      <c r="I37" s="16" t="str">
        <f aca="false">IF(F37="","",ROUND(F37-H37,2))</f>
        <v/>
      </c>
      <c r="J37" s="6"/>
      <c r="K37" s="17" t="str">
        <f aca="false">IF(F37="","",IF(F37&lt;=250,"ja — Kleinbetrag",IF(J37="Firma","ja","NEIN — Beleg umschreiben lassen")))</f>
        <v/>
      </c>
      <c r="L37" s="13"/>
      <c r="M37" s="17" t="str">
        <f aca="false">IF(F37="","",IF(E37="Kraftstoff Privat-Pkw","NICHT BUCHEN — km-Pauschale nutzen",IF(E37="Private Kleidung","NICHT ABZUGSFAEHIG (§ 12 Nr. 1 EStG)",IF(L37="","offen — noch nicht erstattet","erledigt"))))</f>
        <v/>
      </c>
    </row>
    <row r="38" customFormat="false" ht="15" hidden="false" customHeight="false" outlineLevel="0" collapsed="false">
      <c r="A38" s="6"/>
      <c r="B38" s="13"/>
      <c r="C38" s="6"/>
      <c r="D38" s="6"/>
      <c r="E38" s="6"/>
      <c r="F38" s="14"/>
      <c r="G38" s="15" t="n">
        <v>0.19</v>
      </c>
      <c r="H38" s="16" t="str">
        <f aca="false">IF(OR(F38="",G38=""),"",ROUND(F38-F38/(1+G38),2))</f>
        <v/>
      </c>
      <c r="I38" s="16" t="str">
        <f aca="false">IF(F38="","",ROUND(F38-H38,2))</f>
        <v/>
      </c>
      <c r="J38" s="6"/>
      <c r="K38" s="17" t="str">
        <f aca="false">IF(F38="","",IF(F38&lt;=250,"ja — Kleinbetrag",IF(J38="Firma","ja","NEIN — Beleg umschreiben lassen")))</f>
        <v/>
      </c>
      <c r="L38" s="13"/>
      <c r="M38" s="17" t="str">
        <f aca="false">IF(F38="","",IF(E38="Kraftstoff Privat-Pkw","NICHT BUCHEN — km-Pauschale nutzen",IF(E38="Private Kleidung","NICHT ABZUGSFAEHIG (§ 12 Nr. 1 EStG)",IF(L38="","offen — noch nicht erstattet","erledigt"))))</f>
        <v/>
      </c>
    </row>
    <row r="39" customFormat="false" ht="15" hidden="false" customHeight="false" outlineLevel="0" collapsed="false">
      <c r="A39" s="6"/>
      <c r="B39" s="13"/>
      <c r="C39" s="6"/>
      <c r="D39" s="6"/>
      <c r="E39" s="6"/>
      <c r="F39" s="14"/>
      <c r="G39" s="15" t="n">
        <v>0.19</v>
      </c>
      <c r="H39" s="16" t="str">
        <f aca="false">IF(OR(F39="",G39=""),"",ROUND(F39-F39/(1+G39),2))</f>
        <v/>
      </c>
      <c r="I39" s="16" t="str">
        <f aca="false">IF(F39="","",ROUND(F39-H39,2))</f>
        <v/>
      </c>
      <c r="J39" s="6"/>
      <c r="K39" s="17" t="str">
        <f aca="false">IF(F39="","",IF(F39&lt;=250,"ja — Kleinbetrag",IF(J39="Firma","ja","NEIN — Beleg umschreiben lassen")))</f>
        <v/>
      </c>
      <c r="L39" s="13"/>
      <c r="M39" s="17" t="str">
        <f aca="false">IF(F39="","",IF(E39="Kraftstoff Privat-Pkw","NICHT BUCHEN — km-Pauschale nutzen",IF(E39="Private Kleidung","NICHT ABZUGSFAEHIG (§ 12 Nr. 1 EStG)",IF(L39="","offen — noch nicht erstattet","erledigt"))))</f>
        <v/>
      </c>
    </row>
    <row r="40" customFormat="false" ht="15" hidden="false" customHeight="false" outlineLevel="0" collapsed="false">
      <c r="A40" s="6"/>
      <c r="B40" s="13"/>
      <c r="C40" s="6"/>
      <c r="D40" s="6"/>
      <c r="E40" s="6"/>
      <c r="F40" s="14"/>
      <c r="G40" s="15" t="n">
        <v>0.19</v>
      </c>
      <c r="H40" s="16" t="str">
        <f aca="false">IF(OR(F40="",G40=""),"",ROUND(F40-F40/(1+G40),2))</f>
        <v/>
      </c>
      <c r="I40" s="16" t="str">
        <f aca="false">IF(F40="","",ROUND(F40-H40,2))</f>
        <v/>
      </c>
      <c r="J40" s="6"/>
      <c r="K40" s="17" t="str">
        <f aca="false">IF(F40="","",IF(F40&lt;=250,"ja — Kleinbetrag",IF(J40="Firma","ja","NEIN — Beleg umschreiben lassen")))</f>
        <v/>
      </c>
      <c r="L40" s="13"/>
      <c r="M40" s="17" t="str">
        <f aca="false">IF(F40="","",IF(E40="Kraftstoff Privat-Pkw","NICHT BUCHEN — km-Pauschale nutzen",IF(E40="Private Kleidung","NICHT ABZUGSFAEHIG (§ 12 Nr. 1 EStG)",IF(L40="","offen — noch nicht erstattet","erledigt"))))</f>
        <v/>
      </c>
    </row>
    <row r="41" customFormat="false" ht="15" hidden="false" customHeight="false" outlineLevel="0" collapsed="false">
      <c r="A41" s="6"/>
      <c r="B41" s="13"/>
      <c r="C41" s="6"/>
      <c r="D41" s="6"/>
      <c r="E41" s="6"/>
      <c r="F41" s="14"/>
      <c r="G41" s="15" t="n">
        <v>0.19</v>
      </c>
      <c r="H41" s="16" t="str">
        <f aca="false">IF(OR(F41="",G41=""),"",ROUND(F41-F41/(1+G41),2))</f>
        <v/>
      </c>
      <c r="I41" s="16" t="str">
        <f aca="false">IF(F41="","",ROUND(F41-H41,2))</f>
        <v/>
      </c>
      <c r="J41" s="6"/>
      <c r="K41" s="17" t="str">
        <f aca="false">IF(F41="","",IF(F41&lt;=250,"ja — Kleinbetrag",IF(J41="Firma","ja","NEIN — Beleg umschreiben lassen")))</f>
        <v/>
      </c>
      <c r="L41" s="13"/>
      <c r="M41" s="17" t="str">
        <f aca="false">IF(F41="","",IF(E41="Kraftstoff Privat-Pkw","NICHT BUCHEN — km-Pauschale nutzen",IF(E41="Private Kleidung","NICHT ABZUGSFAEHIG (§ 12 Nr. 1 EStG)",IF(L41="","offen — noch nicht erstattet","erledigt"))))</f>
        <v/>
      </c>
    </row>
    <row r="42" customFormat="false" ht="15" hidden="false" customHeight="false" outlineLevel="0" collapsed="false">
      <c r="A42" s="6"/>
      <c r="B42" s="13"/>
      <c r="C42" s="6"/>
      <c r="D42" s="6"/>
      <c r="E42" s="6"/>
      <c r="F42" s="14"/>
      <c r="G42" s="15" t="n">
        <v>0.19</v>
      </c>
      <c r="H42" s="16" t="str">
        <f aca="false">IF(OR(F42="",G42=""),"",ROUND(F42-F42/(1+G42),2))</f>
        <v/>
      </c>
      <c r="I42" s="16" t="str">
        <f aca="false">IF(F42="","",ROUND(F42-H42,2))</f>
        <v/>
      </c>
      <c r="J42" s="6"/>
      <c r="K42" s="17" t="str">
        <f aca="false">IF(F42="","",IF(F42&lt;=250,"ja — Kleinbetrag",IF(J42="Firma","ja","NEIN — Beleg umschreiben lassen")))</f>
        <v/>
      </c>
      <c r="L42" s="13"/>
      <c r="M42" s="17" t="str">
        <f aca="false">IF(F42="","",IF(E42="Kraftstoff Privat-Pkw","NICHT BUCHEN — km-Pauschale nutzen",IF(E42="Private Kleidung","NICHT ABZUGSFAEHIG (§ 12 Nr. 1 EStG)",IF(L42="","offen — noch nicht erstattet","erledigt"))))</f>
        <v/>
      </c>
    </row>
    <row r="43" customFormat="false" ht="15" hidden="false" customHeight="false" outlineLevel="0" collapsed="false">
      <c r="A43" s="6"/>
      <c r="B43" s="13"/>
      <c r="C43" s="6"/>
      <c r="D43" s="6"/>
      <c r="E43" s="6"/>
      <c r="F43" s="14"/>
      <c r="G43" s="15" t="n">
        <v>0.19</v>
      </c>
      <c r="H43" s="16" t="str">
        <f aca="false">IF(OR(F43="",G43=""),"",ROUND(F43-F43/(1+G43),2))</f>
        <v/>
      </c>
      <c r="I43" s="16" t="str">
        <f aca="false">IF(F43="","",ROUND(F43-H43,2))</f>
        <v/>
      </c>
      <c r="J43" s="6"/>
      <c r="K43" s="17" t="str">
        <f aca="false">IF(F43="","",IF(F43&lt;=250,"ja — Kleinbetrag",IF(J43="Firma","ja","NEIN — Beleg umschreiben lassen")))</f>
        <v/>
      </c>
      <c r="L43" s="13"/>
      <c r="M43" s="17" t="str">
        <f aca="false">IF(F43="","",IF(E43="Kraftstoff Privat-Pkw","NICHT BUCHEN — km-Pauschale nutzen",IF(E43="Private Kleidung","NICHT ABZUGSFAEHIG (§ 12 Nr. 1 EStG)",IF(L43="","offen — noch nicht erstattet","erledigt"))))</f>
        <v/>
      </c>
    </row>
    <row r="44" customFormat="false" ht="15" hidden="false" customHeight="false" outlineLevel="0" collapsed="false">
      <c r="A44" s="6"/>
      <c r="B44" s="13"/>
      <c r="C44" s="6"/>
      <c r="D44" s="6"/>
      <c r="E44" s="6"/>
      <c r="F44" s="14"/>
      <c r="G44" s="15" t="n">
        <v>0.19</v>
      </c>
      <c r="H44" s="16" t="str">
        <f aca="false">IF(OR(F44="",G44=""),"",ROUND(F44-F44/(1+G44),2))</f>
        <v/>
      </c>
      <c r="I44" s="16" t="str">
        <f aca="false">IF(F44="","",ROUND(F44-H44,2))</f>
        <v/>
      </c>
      <c r="J44" s="6"/>
      <c r="K44" s="17" t="str">
        <f aca="false">IF(F44="","",IF(F44&lt;=250,"ja — Kleinbetrag",IF(J44="Firma","ja","NEIN — Beleg umschreiben lassen")))</f>
        <v/>
      </c>
      <c r="L44" s="13"/>
      <c r="M44" s="17" t="str">
        <f aca="false">IF(F44="","",IF(E44="Kraftstoff Privat-Pkw","NICHT BUCHEN — km-Pauschale nutzen",IF(E44="Private Kleidung","NICHT ABZUGSFAEHIG (§ 12 Nr. 1 EStG)",IF(L44="","offen — noch nicht erstattet","erledigt"))))</f>
        <v/>
      </c>
    </row>
    <row r="45" customFormat="false" ht="15" hidden="false" customHeight="false" outlineLevel="0" collapsed="false">
      <c r="A45" s="6"/>
      <c r="B45" s="13"/>
      <c r="C45" s="6"/>
      <c r="D45" s="6"/>
      <c r="E45" s="6"/>
      <c r="F45" s="14"/>
      <c r="G45" s="15" t="n">
        <v>0.19</v>
      </c>
      <c r="H45" s="16" t="str">
        <f aca="false">IF(OR(F45="",G45=""),"",ROUND(F45-F45/(1+G45),2))</f>
        <v/>
      </c>
      <c r="I45" s="16" t="str">
        <f aca="false">IF(F45="","",ROUND(F45-H45,2))</f>
        <v/>
      </c>
      <c r="J45" s="6"/>
      <c r="K45" s="17" t="str">
        <f aca="false">IF(F45="","",IF(F45&lt;=250,"ja — Kleinbetrag",IF(J45="Firma","ja","NEIN — Beleg umschreiben lassen")))</f>
        <v/>
      </c>
      <c r="L45" s="13"/>
      <c r="M45" s="17" t="str">
        <f aca="false">IF(F45="","",IF(E45="Kraftstoff Privat-Pkw","NICHT BUCHEN — km-Pauschale nutzen",IF(E45="Private Kleidung","NICHT ABZUGSFAEHIG (§ 12 Nr. 1 EStG)",IF(L45="","offen — noch nicht erstattet","erledigt"))))</f>
        <v/>
      </c>
    </row>
    <row r="46" customFormat="false" ht="15" hidden="false" customHeight="false" outlineLevel="0" collapsed="false">
      <c r="A46" s="6"/>
      <c r="B46" s="13"/>
      <c r="C46" s="6"/>
      <c r="D46" s="6"/>
      <c r="E46" s="6"/>
      <c r="F46" s="14"/>
      <c r="G46" s="15" t="n">
        <v>0.19</v>
      </c>
      <c r="H46" s="16" t="str">
        <f aca="false">IF(OR(F46="",G46=""),"",ROUND(F46-F46/(1+G46),2))</f>
        <v/>
      </c>
      <c r="I46" s="16" t="str">
        <f aca="false">IF(F46="","",ROUND(F46-H46,2))</f>
        <v/>
      </c>
      <c r="J46" s="6"/>
      <c r="K46" s="17" t="str">
        <f aca="false">IF(F46="","",IF(F46&lt;=250,"ja — Kleinbetrag",IF(J46="Firma","ja","NEIN — Beleg umschreiben lassen")))</f>
        <v/>
      </c>
      <c r="L46" s="13"/>
      <c r="M46" s="17" t="str">
        <f aca="false">IF(F46="","",IF(E46="Kraftstoff Privat-Pkw","NICHT BUCHEN — km-Pauschale nutzen",IF(E46="Private Kleidung","NICHT ABZUGSFAEHIG (§ 12 Nr. 1 EStG)",IF(L46="","offen — noch nicht erstattet","erledigt"))))</f>
        <v/>
      </c>
    </row>
    <row r="47" customFormat="false" ht="15" hidden="false" customHeight="false" outlineLevel="0" collapsed="false">
      <c r="A47" s="6"/>
      <c r="B47" s="13"/>
      <c r="C47" s="6"/>
      <c r="D47" s="6"/>
      <c r="E47" s="6"/>
      <c r="F47" s="14"/>
      <c r="G47" s="15" t="n">
        <v>0.19</v>
      </c>
      <c r="H47" s="16" t="str">
        <f aca="false">IF(OR(F47="",G47=""),"",ROUND(F47-F47/(1+G47),2))</f>
        <v/>
      </c>
      <c r="I47" s="16" t="str">
        <f aca="false">IF(F47="","",ROUND(F47-H47,2))</f>
        <v/>
      </c>
      <c r="J47" s="6"/>
      <c r="K47" s="17" t="str">
        <f aca="false">IF(F47="","",IF(F47&lt;=250,"ja — Kleinbetrag",IF(J47="Firma","ja","NEIN — Beleg umschreiben lassen")))</f>
        <v/>
      </c>
      <c r="L47" s="13"/>
      <c r="M47" s="17" t="str">
        <f aca="false">IF(F47="","",IF(E47="Kraftstoff Privat-Pkw","NICHT BUCHEN — km-Pauschale nutzen",IF(E47="Private Kleidung","NICHT ABZUGSFAEHIG (§ 12 Nr. 1 EStG)",IF(L47="","offen — noch nicht erstattet","erledigt"))))</f>
        <v/>
      </c>
    </row>
    <row r="48" customFormat="false" ht="15" hidden="false" customHeight="false" outlineLevel="0" collapsed="false">
      <c r="A48" s="6"/>
      <c r="B48" s="13"/>
      <c r="C48" s="6"/>
      <c r="D48" s="6"/>
      <c r="E48" s="6"/>
      <c r="F48" s="14"/>
      <c r="G48" s="15" t="n">
        <v>0.19</v>
      </c>
      <c r="H48" s="16" t="str">
        <f aca="false">IF(OR(F48="",G48=""),"",ROUND(F48-F48/(1+G48),2))</f>
        <v/>
      </c>
      <c r="I48" s="16" t="str">
        <f aca="false">IF(F48="","",ROUND(F48-H48,2))</f>
        <v/>
      </c>
      <c r="J48" s="6"/>
      <c r="K48" s="17" t="str">
        <f aca="false">IF(F48="","",IF(F48&lt;=250,"ja — Kleinbetrag",IF(J48="Firma","ja","NEIN — Beleg umschreiben lassen")))</f>
        <v/>
      </c>
      <c r="L48" s="13"/>
      <c r="M48" s="17" t="str">
        <f aca="false">IF(F48="","",IF(E48="Kraftstoff Privat-Pkw","NICHT BUCHEN — km-Pauschale nutzen",IF(E48="Private Kleidung","NICHT ABZUGSFAEHIG (§ 12 Nr. 1 EStG)",IF(L48="","offen — noch nicht erstattet","erledigt"))))</f>
        <v/>
      </c>
    </row>
    <row r="49" customFormat="false" ht="15" hidden="false" customHeight="false" outlineLevel="0" collapsed="false">
      <c r="A49" s="6"/>
      <c r="B49" s="13"/>
      <c r="C49" s="6"/>
      <c r="D49" s="6"/>
      <c r="E49" s="6"/>
      <c r="F49" s="14"/>
      <c r="G49" s="15" t="n">
        <v>0.19</v>
      </c>
      <c r="H49" s="16" t="str">
        <f aca="false">IF(OR(F49="",G49=""),"",ROUND(F49-F49/(1+G49),2))</f>
        <v/>
      </c>
      <c r="I49" s="16" t="str">
        <f aca="false">IF(F49="","",ROUND(F49-H49,2))</f>
        <v/>
      </c>
      <c r="J49" s="6"/>
      <c r="K49" s="17" t="str">
        <f aca="false">IF(F49="","",IF(F49&lt;=250,"ja — Kleinbetrag",IF(J49="Firma","ja","NEIN — Beleg umschreiben lassen")))</f>
        <v/>
      </c>
      <c r="L49" s="13"/>
      <c r="M49" s="17" t="str">
        <f aca="false">IF(F49="","",IF(E49="Kraftstoff Privat-Pkw","NICHT BUCHEN — km-Pauschale nutzen",IF(E49="Private Kleidung","NICHT ABZUGSFAEHIG (§ 12 Nr. 1 EStG)",IF(L49="","offen — noch nicht erstattet","erledigt"))))</f>
        <v/>
      </c>
    </row>
    <row r="50" customFormat="false" ht="15" hidden="false" customHeight="false" outlineLevel="0" collapsed="false">
      <c r="A50" s="6"/>
      <c r="B50" s="13"/>
      <c r="C50" s="6"/>
      <c r="D50" s="6"/>
      <c r="E50" s="6"/>
      <c r="F50" s="14"/>
      <c r="G50" s="15" t="n">
        <v>0.19</v>
      </c>
      <c r="H50" s="16" t="str">
        <f aca="false">IF(OR(F50="",G50=""),"",ROUND(F50-F50/(1+G50),2))</f>
        <v/>
      </c>
      <c r="I50" s="16" t="str">
        <f aca="false">IF(F50="","",ROUND(F50-H50,2))</f>
        <v/>
      </c>
      <c r="J50" s="6"/>
      <c r="K50" s="17" t="str">
        <f aca="false">IF(F50="","",IF(F50&lt;=250,"ja — Kleinbetrag",IF(J50="Firma","ja","NEIN — Beleg umschreiben lassen")))</f>
        <v/>
      </c>
      <c r="L50" s="13"/>
      <c r="M50" s="17" t="str">
        <f aca="false">IF(F50="","",IF(E50="Kraftstoff Privat-Pkw","NICHT BUCHEN — km-Pauschale nutzen",IF(E50="Private Kleidung","NICHT ABZUGSFAEHIG (§ 12 Nr. 1 EStG)",IF(L50="","offen — noch nicht erstattet","erledigt"))))</f>
        <v/>
      </c>
    </row>
    <row r="51" customFormat="false" ht="15" hidden="false" customHeight="false" outlineLevel="0" collapsed="false">
      <c r="A51" s="6"/>
      <c r="B51" s="13"/>
      <c r="C51" s="6"/>
      <c r="D51" s="6"/>
      <c r="E51" s="6"/>
      <c r="F51" s="14"/>
      <c r="G51" s="15" t="n">
        <v>0.19</v>
      </c>
      <c r="H51" s="16" t="str">
        <f aca="false">IF(OR(F51="",G51=""),"",ROUND(F51-F51/(1+G51),2))</f>
        <v/>
      </c>
      <c r="I51" s="16" t="str">
        <f aca="false">IF(F51="","",ROUND(F51-H51,2))</f>
        <v/>
      </c>
      <c r="J51" s="6"/>
      <c r="K51" s="17" t="str">
        <f aca="false">IF(F51="","",IF(F51&lt;=250,"ja — Kleinbetrag",IF(J51="Firma","ja","NEIN — Beleg umschreiben lassen")))</f>
        <v/>
      </c>
      <c r="L51" s="13"/>
      <c r="M51" s="17" t="str">
        <f aca="false">IF(F51="","",IF(E51="Kraftstoff Privat-Pkw","NICHT BUCHEN — km-Pauschale nutzen",IF(E51="Private Kleidung","NICHT ABZUGSFAEHIG (§ 12 Nr. 1 EStG)",IF(L51="","offen — noch nicht erstattet","erledigt"))))</f>
        <v/>
      </c>
    </row>
    <row r="52" customFormat="false" ht="15" hidden="false" customHeight="false" outlineLevel="0" collapsed="false">
      <c r="A52" s="6"/>
      <c r="B52" s="13"/>
      <c r="C52" s="6"/>
      <c r="D52" s="6"/>
      <c r="E52" s="6"/>
      <c r="F52" s="14"/>
      <c r="G52" s="15" t="n">
        <v>0.19</v>
      </c>
      <c r="H52" s="16" t="str">
        <f aca="false">IF(OR(F52="",G52=""),"",ROUND(F52-F52/(1+G52),2))</f>
        <v/>
      </c>
      <c r="I52" s="16" t="str">
        <f aca="false">IF(F52="","",ROUND(F52-H52,2))</f>
        <v/>
      </c>
      <c r="J52" s="6"/>
      <c r="K52" s="17" t="str">
        <f aca="false">IF(F52="","",IF(F52&lt;=250,"ja — Kleinbetrag",IF(J52="Firma","ja","NEIN — Beleg umschreiben lassen")))</f>
        <v/>
      </c>
      <c r="L52" s="13"/>
      <c r="M52" s="17" t="str">
        <f aca="false">IF(F52="","",IF(E52="Kraftstoff Privat-Pkw","NICHT BUCHEN — km-Pauschale nutzen",IF(E52="Private Kleidung","NICHT ABZUGSFAEHIG (§ 12 Nr. 1 EStG)",IF(L52="","offen — noch nicht erstattet","erledigt"))))</f>
        <v/>
      </c>
    </row>
    <row r="53" customFormat="false" ht="15" hidden="false" customHeight="false" outlineLevel="0" collapsed="false">
      <c r="A53" s="6"/>
      <c r="B53" s="13"/>
      <c r="C53" s="6"/>
      <c r="D53" s="6"/>
      <c r="E53" s="6"/>
      <c r="F53" s="14"/>
      <c r="G53" s="15" t="n">
        <v>0.19</v>
      </c>
      <c r="H53" s="16" t="str">
        <f aca="false">IF(OR(F53="",G53=""),"",ROUND(F53-F53/(1+G53),2))</f>
        <v/>
      </c>
      <c r="I53" s="16" t="str">
        <f aca="false">IF(F53="","",ROUND(F53-H53,2))</f>
        <v/>
      </c>
      <c r="J53" s="6"/>
      <c r="K53" s="17" t="str">
        <f aca="false">IF(F53="","",IF(F53&lt;=250,"ja — Kleinbetrag",IF(J53="Firma","ja","NEIN — Beleg umschreiben lassen")))</f>
        <v/>
      </c>
      <c r="L53" s="13"/>
      <c r="M53" s="17" t="str">
        <f aca="false">IF(F53="","",IF(E53="Kraftstoff Privat-Pkw","NICHT BUCHEN — km-Pauschale nutzen",IF(E53="Private Kleidung","NICHT ABZUGSFAEHIG (§ 12 Nr. 1 EStG)",IF(L53="","offen — noch nicht erstattet","erledigt"))))</f>
        <v/>
      </c>
    </row>
    <row r="54" customFormat="false" ht="15" hidden="false" customHeight="false" outlineLevel="0" collapsed="false">
      <c r="A54" s="6"/>
      <c r="B54" s="13"/>
      <c r="C54" s="6"/>
      <c r="D54" s="6"/>
      <c r="E54" s="6"/>
      <c r="F54" s="14"/>
      <c r="G54" s="15" t="n">
        <v>0.19</v>
      </c>
      <c r="H54" s="16" t="str">
        <f aca="false">IF(OR(F54="",G54=""),"",ROUND(F54-F54/(1+G54),2))</f>
        <v/>
      </c>
      <c r="I54" s="16" t="str">
        <f aca="false">IF(F54="","",ROUND(F54-H54,2))</f>
        <v/>
      </c>
      <c r="J54" s="6"/>
      <c r="K54" s="17" t="str">
        <f aca="false">IF(F54="","",IF(F54&lt;=250,"ja — Kleinbetrag",IF(J54="Firma","ja","NEIN — Beleg umschreiben lassen")))</f>
        <v/>
      </c>
      <c r="L54" s="13"/>
      <c r="M54" s="17" t="str">
        <f aca="false">IF(F54="","",IF(E54="Kraftstoff Privat-Pkw","NICHT BUCHEN — km-Pauschale nutzen",IF(E54="Private Kleidung","NICHT ABZUGSFAEHIG (§ 12 Nr. 1 EStG)",IF(L54="","offen — noch nicht erstattet","erledigt"))))</f>
        <v/>
      </c>
    </row>
    <row r="55" customFormat="false" ht="15" hidden="false" customHeight="false" outlineLevel="0" collapsed="false">
      <c r="A55" s="6"/>
      <c r="B55" s="13"/>
      <c r="C55" s="6"/>
      <c r="D55" s="6"/>
      <c r="E55" s="6"/>
      <c r="F55" s="14"/>
      <c r="G55" s="15" t="n">
        <v>0.19</v>
      </c>
      <c r="H55" s="16" t="str">
        <f aca="false">IF(OR(F55="",G55=""),"",ROUND(F55-F55/(1+G55),2))</f>
        <v/>
      </c>
      <c r="I55" s="16" t="str">
        <f aca="false">IF(F55="","",ROUND(F55-H55,2))</f>
        <v/>
      </c>
      <c r="J55" s="6"/>
      <c r="K55" s="17" t="str">
        <f aca="false">IF(F55="","",IF(F55&lt;=250,"ja — Kleinbetrag",IF(J55="Firma","ja","NEIN — Beleg umschreiben lassen")))</f>
        <v/>
      </c>
      <c r="L55" s="13"/>
      <c r="M55" s="17" t="str">
        <f aca="false">IF(F55="","",IF(E55="Kraftstoff Privat-Pkw","NICHT BUCHEN — km-Pauschale nutzen",IF(E55="Private Kleidung","NICHT ABZUGSFAEHIG (§ 12 Nr. 1 EStG)",IF(L55="","offen — noch nicht erstattet","erledigt"))))</f>
        <v/>
      </c>
    </row>
    <row r="56" customFormat="false" ht="15" hidden="false" customHeight="false" outlineLevel="0" collapsed="false">
      <c r="A56" s="6"/>
      <c r="B56" s="13"/>
      <c r="C56" s="6"/>
      <c r="D56" s="6"/>
      <c r="E56" s="6"/>
      <c r="F56" s="14"/>
      <c r="G56" s="15" t="n">
        <v>0.19</v>
      </c>
      <c r="H56" s="16" t="str">
        <f aca="false">IF(OR(F56="",G56=""),"",ROUND(F56-F56/(1+G56),2))</f>
        <v/>
      </c>
      <c r="I56" s="16" t="str">
        <f aca="false">IF(F56="","",ROUND(F56-H56,2))</f>
        <v/>
      </c>
      <c r="J56" s="6"/>
      <c r="K56" s="17" t="str">
        <f aca="false">IF(F56="","",IF(F56&lt;=250,"ja — Kleinbetrag",IF(J56="Firma","ja","NEIN — Beleg umschreiben lassen")))</f>
        <v/>
      </c>
      <c r="L56" s="13"/>
      <c r="M56" s="17" t="str">
        <f aca="false">IF(F56="","",IF(E56="Kraftstoff Privat-Pkw","NICHT BUCHEN — km-Pauschale nutzen",IF(E56="Private Kleidung","NICHT ABZUGSFAEHIG (§ 12 Nr. 1 EStG)",IF(L56="","offen — noch nicht erstattet","erledigt"))))</f>
        <v/>
      </c>
    </row>
    <row r="57" customFormat="false" ht="15" hidden="false" customHeight="false" outlineLevel="0" collapsed="false">
      <c r="A57" s="6"/>
      <c r="B57" s="13"/>
      <c r="C57" s="6"/>
      <c r="D57" s="6"/>
      <c r="E57" s="6"/>
      <c r="F57" s="14"/>
      <c r="G57" s="15" t="n">
        <v>0.19</v>
      </c>
      <c r="H57" s="16" t="str">
        <f aca="false">IF(OR(F57="",G57=""),"",ROUND(F57-F57/(1+G57),2))</f>
        <v/>
      </c>
      <c r="I57" s="16" t="str">
        <f aca="false">IF(F57="","",ROUND(F57-H57,2))</f>
        <v/>
      </c>
      <c r="J57" s="6"/>
      <c r="K57" s="17" t="str">
        <f aca="false">IF(F57="","",IF(F57&lt;=250,"ja — Kleinbetrag",IF(J57="Firma","ja","NEIN — Beleg umschreiben lassen")))</f>
        <v/>
      </c>
      <c r="L57" s="13"/>
      <c r="M57" s="17" t="str">
        <f aca="false">IF(F57="","",IF(E57="Kraftstoff Privat-Pkw","NICHT BUCHEN — km-Pauschale nutzen",IF(E57="Private Kleidung","NICHT ABZUGSFAEHIG (§ 12 Nr. 1 EStG)",IF(L57="","offen — noch nicht erstattet","erledigt"))))</f>
        <v/>
      </c>
    </row>
    <row r="58" customFormat="false" ht="15" hidden="false" customHeight="false" outlineLevel="0" collapsed="false">
      <c r="A58" s="6"/>
      <c r="B58" s="13"/>
      <c r="C58" s="6"/>
      <c r="D58" s="6"/>
      <c r="E58" s="6"/>
      <c r="F58" s="14"/>
      <c r="G58" s="15" t="n">
        <v>0.19</v>
      </c>
      <c r="H58" s="16" t="str">
        <f aca="false">IF(OR(F58="",G58=""),"",ROUND(F58-F58/(1+G58),2))</f>
        <v/>
      </c>
      <c r="I58" s="16" t="str">
        <f aca="false">IF(F58="","",ROUND(F58-H58,2))</f>
        <v/>
      </c>
      <c r="J58" s="6"/>
      <c r="K58" s="17" t="str">
        <f aca="false">IF(F58="","",IF(F58&lt;=250,"ja — Kleinbetrag",IF(J58="Firma","ja","NEIN — Beleg umschreiben lassen")))</f>
        <v/>
      </c>
      <c r="L58" s="13"/>
      <c r="M58" s="17" t="str">
        <f aca="false">IF(F58="","",IF(E58="Kraftstoff Privat-Pkw","NICHT BUCHEN — km-Pauschale nutzen",IF(E58="Private Kleidung","NICHT ABZUGSFAEHIG (§ 12 Nr. 1 EStG)",IF(L58="","offen — noch nicht erstattet","erledigt"))))</f>
        <v/>
      </c>
    </row>
    <row r="59" customFormat="false" ht="15" hidden="false" customHeight="false" outlineLevel="0" collapsed="false">
      <c r="A59" s="6"/>
      <c r="B59" s="13"/>
      <c r="C59" s="6"/>
      <c r="D59" s="6"/>
      <c r="E59" s="6"/>
      <c r="F59" s="14"/>
      <c r="G59" s="15" t="n">
        <v>0.19</v>
      </c>
      <c r="H59" s="16" t="str">
        <f aca="false">IF(OR(F59="",G59=""),"",ROUND(F59-F59/(1+G59),2))</f>
        <v/>
      </c>
      <c r="I59" s="16" t="str">
        <f aca="false">IF(F59="","",ROUND(F59-H59,2))</f>
        <v/>
      </c>
      <c r="J59" s="6"/>
      <c r="K59" s="17" t="str">
        <f aca="false">IF(F59="","",IF(F59&lt;=250,"ja — Kleinbetrag",IF(J59="Firma","ja","NEIN — Beleg umschreiben lassen")))</f>
        <v/>
      </c>
      <c r="L59" s="13"/>
      <c r="M59" s="17" t="str">
        <f aca="false">IF(F59="","",IF(E59="Kraftstoff Privat-Pkw","NICHT BUCHEN — km-Pauschale nutzen",IF(E59="Private Kleidung","NICHT ABZUGSFAEHIG (§ 12 Nr. 1 EStG)",IF(L59="","offen — noch nicht erstattet","erledigt"))))</f>
        <v/>
      </c>
    </row>
    <row r="60" customFormat="false" ht="15" hidden="false" customHeight="false" outlineLevel="0" collapsed="false">
      <c r="A60" s="6"/>
      <c r="B60" s="13"/>
      <c r="C60" s="6"/>
      <c r="D60" s="6"/>
      <c r="E60" s="6"/>
      <c r="F60" s="14"/>
      <c r="G60" s="15" t="n">
        <v>0.19</v>
      </c>
      <c r="H60" s="16" t="str">
        <f aca="false">IF(OR(F60="",G60=""),"",ROUND(F60-F60/(1+G60),2))</f>
        <v/>
      </c>
      <c r="I60" s="16" t="str">
        <f aca="false">IF(F60="","",ROUND(F60-H60,2))</f>
        <v/>
      </c>
      <c r="J60" s="6"/>
      <c r="K60" s="17" t="str">
        <f aca="false">IF(F60="","",IF(F60&lt;=250,"ja — Kleinbetrag",IF(J60="Firma","ja","NEIN — Beleg umschreiben lassen")))</f>
        <v/>
      </c>
      <c r="L60" s="13"/>
      <c r="M60" s="17" t="str">
        <f aca="false">IF(F60="","",IF(E60="Kraftstoff Privat-Pkw","NICHT BUCHEN — km-Pauschale nutzen",IF(E60="Private Kleidung","NICHT ABZUGSFAEHIG (§ 12 Nr. 1 EStG)",IF(L60="","offen — noch nicht erstattet","erledigt"))))</f>
        <v/>
      </c>
    </row>
    <row r="61" customFormat="false" ht="15" hidden="false" customHeight="false" outlineLevel="0" collapsed="false">
      <c r="A61" s="6"/>
      <c r="B61" s="13"/>
      <c r="C61" s="6"/>
      <c r="D61" s="6"/>
      <c r="E61" s="6"/>
      <c r="F61" s="14"/>
      <c r="G61" s="15" t="n">
        <v>0.19</v>
      </c>
      <c r="H61" s="16" t="str">
        <f aca="false">IF(OR(F61="",G61=""),"",ROUND(F61-F61/(1+G61),2))</f>
        <v/>
      </c>
      <c r="I61" s="16" t="str">
        <f aca="false">IF(F61="","",ROUND(F61-H61,2))</f>
        <v/>
      </c>
      <c r="J61" s="6"/>
      <c r="K61" s="17" t="str">
        <f aca="false">IF(F61="","",IF(F61&lt;=250,"ja — Kleinbetrag",IF(J61="Firma","ja","NEIN — Beleg umschreiben lassen")))</f>
        <v/>
      </c>
      <c r="L61" s="13"/>
      <c r="M61" s="17" t="str">
        <f aca="false">IF(F61="","",IF(E61="Kraftstoff Privat-Pkw","NICHT BUCHEN — km-Pauschale nutzen",IF(E61="Private Kleidung","NICHT ABZUGSFAEHIG (§ 12 Nr. 1 EStG)",IF(L61="","offen — noch nicht erstattet","erledigt"))))</f>
        <v/>
      </c>
    </row>
    <row r="62" customFormat="false" ht="15" hidden="false" customHeight="false" outlineLevel="0" collapsed="false">
      <c r="A62" s="6"/>
      <c r="B62" s="13"/>
      <c r="C62" s="6"/>
      <c r="D62" s="6"/>
      <c r="E62" s="6"/>
      <c r="F62" s="14"/>
      <c r="G62" s="15" t="n">
        <v>0.19</v>
      </c>
      <c r="H62" s="16" t="str">
        <f aca="false">IF(OR(F62="",G62=""),"",ROUND(F62-F62/(1+G62),2))</f>
        <v/>
      </c>
      <c r="I62" s="16" t="str">
        <f aca="false">IF(F62="","",ROUND(F62-H62,2))</f>
        <v/>
      </c>
      <c r="J62" s="6"/>
      <c r="K62" s="17" t="str">
        <f aca="false">IF(F62="","",IF(F62&lt;=250,"ja — Kleinbetrag",IF(J62="Firma","ja","NEIN — Beleg umschreiben lassen")))</f>
        <v/>
      </c>
      <c r="L62" s="13"/>
      <c r="M62" s="17" t="str">
        <f aca="false">IF(F62="","",IF(E62="Kraftstoff Privat-Pkw","NICHT BUCHEN — km-Pauschale nutzen",IF(E62="Private Kleidung","NICHT ABZUGSFAEHIG (§ 12 Nr. 1 EStG)",IF(L62="","offen — noch nicht erstattet","erledigt"))))</f>
        <v/>
      </c>
    </row>
    <row r="63" customFormat="false" ht="15" hidden="false" customHeight="false" outlineLevel="0" collapsed="false">
      <c r="A63" s="6"/>
      <c r="B63" s="13"/>
      <c r="C63" s="6"/>
      <c r="D63" s="6"/>
      <c r="E63" s="6"/>
      <c r="F63" s="14"/>
      <c r="G63" s="15" t="n">
        <v>0.19</v>
      </c>
      <c r="H63" s="16" t="str">
        <f aca="false">IF(OR(F63="",G63=""),"",ROUND(F63-F63/(1+G63),2))</f>
        <v/>
      </c>
      <c r="I63" s="16" t="str">
        <f aca="false">IF(F63="","",ROUND(F63-H63,2))</f>
        <v/>
      </c>
      <c r="J63" s="6"/>
      <c r="K63" s="17" t="str">
        <f aca="false">IF(F63="","",IF(F63&lt;=250,"ja — Kleinbetrag",IF(J63="Firma","ja","NEIN — Beleg umschreiben lassen")))</f>
        <v/>
      </c>
      <c r="L63" s="13"/>
      <c r="M63" s="17" t="str">
        <f aca="false">IF(F63="","",IF(E63="Kraftstoff Privat-Pkw","NICHT BUCHEN — km-Pauschale nutzen",IF(E63="Private Kleidung","NICHT ABZUGSFAEHIG (§ 12 Nr. 1 EStG)",IF(L63="","offen — noch nicht erstattet","erledigt"))))</f>
        <v/>
      </c>
    </row>
    <row r="64" customFormat="false" ht="15" hidden="false" customHeight="false" outlineLevel="0" collapsed="false">
      <c r="A64" s="6"/>
      <c r="B64" s="13"/>
      <c r="C64" s="6"/>
      <c r="D64" s="6"/>
      <c r="E64" s="6"/>
      <c r="F64" s="14"/>
      <c r="G64" s="15" t="n">
        <v>0.19</v>
      </c>
      <c r="H64" s="16" t="str">
        <f aca="false">IF(OR(F64="",G64=""),"",ROUND(F64-F64/(1+G64),2))</f>
        <v/>
      </c>
      <c r="I64" s="16" t="str">
        <f aca="false">IF(F64="","",ROUND(F64-H64,2))</f>
        <v/>
      </c>
      <c r="J64" s="6"/>
      <c r="K64" s="17" t="str">
        <f aca="false">IF(F64="","",IF(F64&lt;=250,"ja — Kleinbetrag",IF(J64="Firma","ja","NEIN — Beleg umschreiben lassen")))</f>
        <v/>
      </c>
      <c r="L64" s="13"/>
      <c r="M64" s="17" t="str">
        <f aca="false">IF(F64="","",IF(E64="Kraftstoff Privat-Pkw","NICHT BUCHEN — km-Pauschale nutzen",IF(E64="Private Kleidung","NICHT ABZUGSFAEHIG (§ 12 Nr. 1 EStG)",IF(L64="","offen — noch nicht erstattet","erledigt"))))</f>
        <v/>
      </c>
    </row>
    <row r="65" customFormat="false" ht="15" hidden="false" customHeight="false" outlineLevel="0" collapsed="false">
      <c r="A65" s="6"/>
      <c r="B65" s="13"/>
      <c r="C65" s="6"/>
      <c r="D65" s="6"/>
      <c r="E65" s="6"/>
      <c r="F65" s="14"/>
      <c r="G65" s="15" t="n">
        <v>0.19</v>
      </c>
      <c r="H65" s="16" t="str">
        <f aca="false">IF(OR(F65="",G65=""),"",ROUND(F65-F65/(1+G65),2))</f>
        <v/>
      </c>
      <c r="I65" s="16" t="str">
        <f aca="false">IF(F65="","",ROUND(F65-H65,2))</f>
        <v/>
      </c>
      <c r="J65" s="6"/>
      <c r="K65" s="17" t="str">
        <f aca="false">IF(F65="","",IF(F65&lt;=250,"ja — Kleinbetrag",IF(J65="Firma","ja","NEIN — Beleg umschreiben lassen")))</f>
        <v/>
      </c>
      <c r="L65" s="13"/>
      <c r="M65" s="17" t="str">
        <f aca="false">IF(F65="","",IF(E65="Kraftstoff Privat-Pkw","NICHT BUCHEN — km-Pauschale nutzen",IF(E65="Private Kleidung","NICHT ABZUGSFAEHIG (§ 12 Nr. 1 EStG)",IF(L65="","offen — noch nicht erstattet","erledigt"))))</f>
        <v/>
      </c>
    </row>
    <row r="66" customFormat="false" ht="15" hidden="false" customHeight="false" outlineLevel="0" collapsed="false">
      <c r="A66" s="6"/>
      <c r="B66" s="13"/>
      <c r="C66" s="6"/>
      <c r="D66" s="6"/>
      <c r="E66" s="6"/>
      <c r="F66" s="14"/>
      <c r="G66" s="15" t="n">
        <v>0.19</v>
      </c>
      <c r="H66" s="16" t="str">
        <f aca="false">IF(OR(F66="",G66=""),"",ROUND(F66-F66/(1+G66),2))</f>
        <v/>
      </c>
      <c r="I66" s="16" t="str">
        <f aca="false">IF(F66="","",ROUND(F66-H66,2))</f>
        <v/>
      </c>
      <c r="J66" s="6"/>
      <c r="K66" s="17" t="str">
        <f aca="false">IF(F66="","",IF(F66&lt;=250,"ja — Kleinbetrag",IF(J66="Firma","ja","NEIN — Beleg umschreiben lassen")))</f>
        <v/>
      </c>
      <c r="L66" s="13"/>
      <c r="M66" s="17" t="str">
        <f aca="false">IF(F66="","",IF(E66="Kraftstoff Privat-Pkw","NICHT BUCHEN — km-Pauschale nutzen",IF(E66="Private Kleidung","NICHT ABZUGSFAEHIG (§ 12 Nr. 1 EStG)",IF(L66="","offen — noch nicht erstattet","erledigt"))))</f>
        <v/>
      </c>
    </row>
    <row r="67" customFormat="false" ht="15" hidden="false" customHeight="false" outlineLevel="0" collapsed="false">
      <c r="A67" s="6"/>
      <c r="B67" s="13"/>
      <c r="C67" s="6"/>
      <c r="D67" s="6"/>
      <c r="E67" s="6"/>
      <c r="F67" s="14"/>
      <c r="G67" s="15" t="n">
        <v>0.19</v>
      </c>
      <c r="H67" s="16" t="str">
        <f aca="false">IF(OR(F67="",G67=""),"",ROUND(F67-F67/(1+G67),2))</f>
        <v/>
      </c>
      <c r="I67" s="16" t="str">
        <f aca="false">IF(F67="","",ROUND(F67-H67,2))</f>
        <v/>
      </c>
      <c r="J67" s="6"/>
      <c r="K67" s="17" t="str">
        <f aca="false">IF(F67="","",IF(F67&lt;=250,"ja — Kleinbetrag",IF(J67="Firma","ja","NEIN — Beleg umschreiben lassen")))</f>
        <v/>
      </c>
      <c r="L67" s="13"/>
      <c r="M67" s="17" t="str">
        <f aca="false">IF(F67="","",IF(E67="Kraftstoff Privat-Pkw","NICHT BUCHEN — km-Pauschale nutzen",IF(E67="Private Kleidung","NICHT ABZUGSFAEHIG (§ 12 Nr. 1 EStG)",IF(L67="","offen — noch nicht erstattet","erledigt"))))</f>
        <v/>
      </c>
    </row>
    <row r="68" customFormat="false" ht="15" hidden="false" customHeight="false" outlineLevel="0" collapsed="false">
      <c r="A68" s="6"/>
      <c r="B68" s="13"/>
      <c r="C68" s="6"/>
      <c r="D68" s="6"/>
      <c r="E68" s="6"/>
      <c r="F68" s="14"/>
      <c r="G68" s="15" t="n">
        <v>0.19</v>
      </c>
      <c r="H68" s="16" t="str">
        <f aca="false">IF(OR(F68="",G68=""),"",ROUND(F68-F68/(1+G68),2))</f>
        <v/>
      </c>
      <c r="I68" s="16" t="str">
        <f aca="false">IF(F68="","",ROUND(F68-H68,2))</f>
        <v/>
      </c>
      <c r="J68" s="6"/>
      <c r="K68" s="17" t="str">
        <f aca="false">IF(F68="","",IF(F68&lt;=250,"ja — Kleinbetrag",IF(J68="Firma","ja","NEIN — Beleg umschreiben lassen")))</f>
        <v/>
      </c>
      <c r="L68" s="13"/>
      <c r="M68" s="17" t="str">
        <f aca="false">IF(F68="","",IF(E68="Kraftstoff Privat-Pkw","NICHT BUCHEN — km-Pauschale nutzen",IF(E68="Private Kleidung","NICHT ABZUGSFAEHIG (§ 12 Nr. 1 EStG)",IF(L68="","offen — noch nicht erstattet","erledigt"))))</f>
        <v/>
      </c>
    </row>
    <row r="69" customFormat="false" ht="15" hidden="false" customHeight="false" outlineLevel="0" collapsed="false">
      <c r="A69" s="6"/>
      <c r="B69" s="13"/>
      <c r="C69" s="6"/>
      <c r="D69" s="6"/>
      <c r="E69" s="6"/>
      <c r="F69" s="14"/>
      <c r="G69" s="15" t="n">
        <v>0.19</v>
      </c>
      <c r="H69" s="16" t="str">
        <f aca="false">IF(OR(F69="",G69=""),"",ROUND(F69-F69/(1+G69),2))</f>
        <v/>
      </c>
      <c r="I69" s="16" t="str">
        <f aca="false">IF(F69="","",ROUND(F69-H69,2))</f>
        <v/>
      </c>
      <c r="J69" s="6"/>
      <c r="K69" s="17" t="str">
        <f aca="false">IF(F69="","",IF(F69&lt;=250,"ja — Kleinbetrag",IF(J69="Firma","ja","NEIN — Beleg umschreiben lassen")))</f>
        <v/>
      </c>
      <c r="L69" s="13"/>
      <c r="M69" s="17" t="str">
        <f aca="false">IF(F69="","",IF(E69="Kraftstoff Privat-Pkw","NICHT BUCHEN — km-Pauschale nutzen",IF(E69="Private Kleidung","NICHT ABZUGSFAEHIG (§ 12 Nr. 1 EStG)",IF(L69="","offen — noch nicht erstattet","erledigt"))))</f>
        <v/>
      </c>
    </row>
    <row r="70" customFormat="false" ht="15" hidden="false" customHeight="false" outlineLevel="0" collapsed="false">
      <c r="A70" s="6"/>
      <c r="B70" s="13"/>
      <c r="C70" s="6"/>
      <c r="D70" s="6"/>
      <c r="E70" s="6"/>
      <c r="F70" s="14"/>
      <c r="G70" s="15" t="n">
        <v>0.19</v>
      </c>
      <c r="H70" s="16" t="str">
        <f aca="false">IF(OR(F70="",G70=""),"",ROUND(F70-F70/(1+G70),2))</f>
        <v/>
      </c>
      <c r="I70" s="16" t="str">
        <f aca="false">IF(F70="","",ROUND(F70-H70,2))</f>
        <v/>
      </c>
      <c r="J70" s="6"/>
      <c r="K70" s="17" t="str">
        <f aca="false">IF(F70="","",IF(F70&lt;=250,"ja — Kleinbetrag",IF(J70="Firma","ja","NEIN — Beleg umschreiben lassen")))</f>
        <v/>
      </c>
      <c r="L70" s="13"/>
      <c r="M70" s="17" t="str">
        <f aca="false">IF(F70="","",IF(E70="Kraftstoff Privat-Pkw","NICHT BUCHEN — km-Pauschale nutzen",IF(E70="Private Kleidung","NICHT ABZUGSFAEHIG (§ 12 Nr. 1 EStG)",IF(L70="","offen — noch nicht erstattet","erledigt"))))</f>
        <v/>
      </c>
    </row>
    <row r="71" customFormat="false" ht="15" hidden="false" customHeight="false" outlineLevel="0" collapsed="false">
      <c r="A71" s="6"/>
      <c r="B71" s="13"/>
      <c r="C71" s="6"/>
      <c r="D71" s="6"/>
      <c r="E71" s="6"/>
      <c r="F71" s="14"/>
      <c r="G71" s="15" t="n">
        <v>0.19</v>
      </c>
      <c r="H71" s="16" t="str">
        <f aca="false">IF(OR(F71="",G71=""),"",ROUND(F71-F71/(1+G71),2))</f>
        <v/>
      </c>
      <c r="I71" s="16" t="str">
        <f aca="false">IF(F71="","",ROUND(F71-H71,2))</f>
        <v/>
      </c>
      <c r="J71" s="6"/>
      <c r="K71" s="17" t="str">
        <f aca="false">IF(F71="","",IF(F71&lt;=250,"ja — Kleinbetrag",IF(J71="Firma","ja","NEIN — Beleg umschreiben lassen")))</f>
        <v/>
      </c>
      <c r="L71" s="13"/>
      <c r="M71" s="17" t="str">
        <f aca="false">IF(F71="","",IF(E71="Kraftstoff Privat-Pkw","NICHT BUCHEN — km-Pauschale nutzen",IF(E71="Private Kleidung","NICHT ABZUGSFAEHIG (§ 12 Nr. 1 EStG)",IF(L71="","offen — noch nicht erstattet","erledigt"))))</f>
        <v/>
      </c>
    </row>
    <row r="72" customFormat="false" ht="15" hidden="false" customHeight="false" outlineLevel="0" collapsed="false">
      <c r="A72" s="6"/>
      <c r="B72" s="13"/>
      <c r="C72" s="6"/>
      <c r="D72" s="6"/>
      <c r="E72" s="6"/>
      <c r="F72" s="14"/>
      <c r="G72" s="15" t="n">
        <v>0.19</v>
      </c>
      <c r="H72" s="16" t="str">
        <f aca="false">IF(OR(F72="",G72=""),"",ROUND(F72-F72/(1+G72),2))</f>
        <v/>
      </c>
      <c r="I72" s="16" t="str">
        <f aca="false">IF(F72="","",ROUND(F72-H72,2))</f>
        <v/>
      </c>
      <c r="J72" s="6"/>
      <c r="K72" s="17" t="str">
        <f aca="false">IF(F72="","",IF(F72&lt;=250,"ja — Kleinbetrag",IF(J72="Firma","ja","NEIN — Beleg umschreiben lassen")))</f>
        <v/>
      </c>
      <c r="L72" s="13"/>
      <c r="M72" s="17" t="str">
        <f aca="false">IF(F72="","",IF(E72="Kraftstoff Privat-Pkw","NICHT BUCHEN — km-Pauschale nutzen",IF(E72="Private Kleidung","NICHT ABZUGSFAEHIG (§ 12 Nr. 1 EStG)",IF(L72="","offen — noch nicht erstattet","erledigt"))))</f>
        <v/>
      </c>
    </row>
    <row r="73" customFormat="false" ht="15" hidden="false" customHeight="false" outlineLevel="0" collapsed="false">
      <c r="A73" s="6"/>
      <c r="B73" s="13"/>
      <c r="C73" s="6"/>
      <c r="D73" s="6"/>
      <c r="E73" s="6"/>
      <c r="F73" s="14"/>
      <c r="G73" s="15" t="n">
        <v>0.19</v>
      </c>
      <c r="H73" s="16" t="str">
        <f aca="false">IF(OR(F73="",G73=""),"",ROUND(F73-F73/(1+G73),2))</f>
        <v/>
      </c>
      <c r="I73" s="16" t="str">
        <f aca="false">IF(F73="","",ROUND(F73-H73,2))</f>
        <v/>
      </c>
      <c r="J73" s="6"/>
      <c r="K73" s="17" t="str">
        <f aca="false">IF(F73="","",IF(F73&lt;=250,"ja — Kleinbetrag",IF(J73="Firma","ja","NEIN — Beleg umschreiben lassen")))</f>
        <v/>
      </c>
      <c r="L73" s="13"/>
      <c r="M73" s="17" t="str">
        <f aca="false">IF(F73="","",IF(E73="Kraftstoff Privat-Pkw","NICHT BUCHEN — km-Pauschale nutzen",IF(E73="Private Kleidung","NICHT ABZUGSFAEHIG (§ 12 Nr. 1 EStG)",IF(L73="","offen — noch nicht erstattet","erledigt"))))</f>
        <v/>
      </c>
    </row>
    <row r="74" customFormat="false" ht="15" hidden="false" customHeight="false" outlineLevel="0" collapsed="false">
      <c r="A74" s="6"/>
      <c r="B74" s="13"/>
      <c r="C74" s="6"/>
      <c r="D74" s="6"/>
      <c r="E74" s="6"/>
      <c r="F74" s="14"/>
      <c r="G74" s="15" t="n">
        <v>0.19</v>
      </c>
      <c r="H74" s="16" t="str">
        <f aca="false">IF(OR(F74="",G74=""),"",ROUND(F74-F74/(1+G74),2))</f>
        <v/>
      </c>
      <c r="I74" s="16" t="str">
        <f aca="false">IF(F74="","",ROUND(F74-H74,2))</f>
        <v/>
      </c>
      <c r="J74" s="6"/>
      <c r="K74" s="17" t="str">
        <f aca="false">IF(F74="","",IF(F74&lt;=250,"ja — Kleinbetrag",IF(J74="Firma","ja","NEIN — Beleg umschreiben lassen")))</f>
        <v/>
      </c>
      <c r="L74" s="13"/>
      <c r="M74" s="17" t="str">
        <f aca="false">IF(F74="","",IF(E74="Kraftstoff Privat-Pkw","NICHT BUCHEN — km-Pauschale nutzen",IF(E74="Private Kleidung","NICHT ABZUGSFAEHIG (§ 12 Nr. 1 EStG)",IF(L74="","offen — noch nicht erstattet","erledigt"))))</f>
        <v/>
      </c>
    </row>
    <row r="75" customFormat="false" ht="15" hidden="false" customHeight="false" outlineLevel="0" collapsed="false">
      <c r="A75" s="6"/>
      <c r="B75" s="13"/>
      <c r="C75" s="6"/>
      <c r="D75" s="6"/>
      <c r="E75" s="6"/>
      <c r="F75" s="14"/>
      <c r="G75" s="15" t="n">
        <v>0.19</v>
      </c>
      <c r="H75" s="16" t="str">
        <f aca="false">IF(OR(F75="",G75=""),"",ROUND(F75-F75/(1+G75),2))</f>
        <v/>
      </c>
      <c r="I75" s="16" t="str">
        <f aca="false">IF(F75="","",ROUND(F75-H75,2))</f>
        <v/>
      </c>
      <c r="J75" s="6"/>
      <c r="K75" s="17" t="str">
        <f aca="false">IF(F75="","",IF(F75&lt;=250,"ja — Kleinbetrag",IF(J75="Firma","ja","NEIN — Beleg umschreiben lassen")))</f>
        <v/>
      </c>
      <c r="L75" s="13"/>
      <c r="M75" s="17" t="str">
        <f aca="false">IF(F75="","",IF(E75="Kraftstoff Privat-Pkw","NICHT BUCHEN — km-Pauschale nutzen",IF(E75="Private Kleidung","NICHT ABZUGSFAEHIG (§ 12 Nr. 1 EStG)",IF(L75="","offen — noch nicht erstattet","erledigt"))))</f>
        <v/>
      </c>
    </row>
    <row r="76" customFormat="false" ht="15" hidden="false" customHeight="false" outlineLevel="0" collapsed="false">
      <c r="A76" s="6"/>
      <c r="B76" s="13"/>
      <c r="C76" s="6"/>
      <c r="D76" s="6"/>
      <c r="E76" s="6"/>
      <c r="F76" s="14"/>
      <c r="G76" s="15" t="n">
        <v>0.19</v>
      </c>
      <c r="H76" s="16" t="str">
        <f aca="false">IF(OR(F76="",G76=""),"",ROUND(F76-F76/(1+G76),2))</f>
        <v/>
      </c>
      <c r="I76" s="16" t="str">
        <f aca="false">IF(F76="","",ROUND(F76-H76,2))</f>
        <v/>
      </c>
      <c r="J76" s="6"/>
      <c r="K76" s="17" t="str">
        <f aca="false">IF(F76="","",IF(F76&lt;=250,"ja — Kleinbetrag",IF(J76="Firma","ja","NEIN — Beleg umschreiben lassen")))</f>
        <v/>
      </c>
      <c r="L76" s="13"/>
      <c r="M76" s="17" t="str">
        <f aca="false">IF(F76="","",IF(E76="Kraftstoff Privat-Pkw","NICHT BUCHEN — km-Pauschale nutzen",IF(E76="Private Kleidung","NICHT ABZUGSFAEHIG (§ 12 Nr. 1 EStG)",IF(L76="","offen — noch nicht erstattet","erledigt"))))</f>
        <v/>
      </c>
    </row>
    <row r="77" customFormat="false" ht="15" hidden="false" customHeight="false" outlineLevel="0" collapsed="false">
      <c r="A77" s="6"/>
      <c r="B77" s="13"/>
      <c r="C77" s="6"/>
      <c r="D77" s="6"/>
      <c r="E77" s="6"/>
      <c r="F77" s="14"/>
      <c r="G77" s="15" t="n">
        <v>0.19</v>
      </c>
      <c r="H77" s="16" t="str">
        <f aca="false">IF(OR(F77="",G77=""),"",ROUND(F77-F77/(1+G77),2))</f>
        <v/>
      </c>
      <c r="I77" s="16" t="str">
        <f aca="false">IF(F77="","",ROUND(F77-H77,2))</f>
        <v/>
      </c>
      <c r="J77" s="6"/>
      <c r="K77" s="17" t="str">
        <f aca="false">IF(F77="","",IF(F77&lt;=250,"ja — Kleinbetrag",IF(J77="Firma","ja","NEIN — Beleg umschreiben lassen")))</f>
        <v/>
      </c>
      <c r="L77" s="13"/>
      <c r="M77" s="17" t="str">
        <f aca="false">IF(F77="","",IF(E77="Kraftstoff Privat-Pkw","NICHT BUCHEN — km-Pauschale nutzen",IF(E77="Private Kleidung","NICHT ABZUGSFAEHIG (§ 12 Nr. 1 EStG)",IF(L77="","offen — noch nicht erstattet","erledigt"))))</f>
        <v/>
      </c>
    </row>
    <row r="78" customFormat="false" ht="15" hidden="false" customHeight="false" outlineLevel="0" collapsed="false">
      <c r="A78" s="6"/>
      <c r="B78" s="13"/>
      <c r="C78" s="6"/>
      <c r="D78" s="6"/>
      <c r="E78" s="6"/>
      <c r="F78" s="14"/>
      <c r="G78" s="15" t="n">
        <v>0.19</v>
      </c>
      <c r="H78" s="16" t="str">
        <f aca="false">IF(OR(F78="",G78=""),"",ROUND(F78-F78/(1+G78),2))</f>
        <v/>
      </c>
      <c r="I78" s="16" t="str">
        <f aca="false">IF(F78="","",ROUND(F78-H78,2))</f>
        <v/>
      </c>
      <c r="J78" s="6"/>
      <c r="K78" s="17" t="str">
        <f aca="false">IF(F78="","",IF(F78&lt;=250,"ja — Kleinbetrag",IF(J78="Firma","ja","NEIN — Beleg umschreiben lassen")))</f>
        <v/>
      </c>
      <c r="L78" s="13"/>
      <c r="M78" s="17" t="str">
        <f aca="false">IF(F78="","",IF(E78="Kraftstoff Privat-Pkw","NICHT BUCHEN — km-Pauschale nutzen",IF(E78="Private Kleidung","NICHT ABZUGSFAEHIG (§ 12 Nr. 1 EStG)",IF(L78="","offen — noch nicht erstattet","erledigt"))))</f>
        <v/>
      </c>
    </row>
    <row r="79" customFormat="false" ht="15" hidden="false" customHeight="false" outlineLevel="0" collapsed="false">
      <c r="A79" s="6"/>
      <c r="B79" s="13"/>
      <c r="C79" s="6"/>
      <c r="D79" s="6"/>
      <c r="E79" s="6"/>
      <c r="F79" s="14"/>
      <c r="G79" s="15" t="n">
        <v>0.19</v>
      </c>
      <c r="H79" s="16" t="str">
        <f aca="false">IF(OR(F79="",G79=""),"",ROUND(F79-F79/(1+G79),2))</f>
        <v/>
      </c>
      <c r="I79" s="16" t="str">
        <f aca="false">IF(F79="","",ROUND(F79-H79,2))</f>
        <v/>
      </c>
      <c r="J79" s="6"/>
      <c r="K79" s="17" t="str">
        <f aca="false">IF(F79="","",IF(F79&lt;=250,"ja — Kleinbetrag",IF(J79="Firma","ja","NEIN — Beleg umschreiben lassen")))</f>
        <v/>
      </c>
      <c r="L79" s="13"/>
      <c r="M79" s="17" t="str">
        <f aca="false">IF(F79="","",IF(E79="Kraftstoff Privat-Pkw","NICHT BUCHEN — km-Pauschale nutzen",IF(E79="Private Kleidung","NICHT ABZUGSFAEHIG (§ 12 Nr. 1 EStG)",IF(L79="","offen — noch nicht erstattet","erledigt"))))</f>
        <v/>
      </c>
    </row>
    <row r="80" customFormat="false" ht="15" hidden="false" customHeight="false" outlineLevel="0" collapsed="false">
      <c r="A80" s="6"/>
      <c r="B80" s="13"/>
      <c r="C80" s="6"/>
      <c r="D80" s="6"/>
      <c r="E80" s="6"/>
      <c r="F80" s="14"/>
      <c r="G80" s="15" t="n">
        <v>0.19</v>
      </c>
      <c r="H80" s="16" t="str">
        <f aca="false">IF(OR(F80="",G80=""),"",ROUND(F80-F80/(1+G80),2))</f>
        <v/>
      </c>
      <c r="I80" s="16" t="str">
        <f aca="false">IF(F80="","",ROUND(F80-H80,2))</f>
        <v/>
      </c>
      <c r="J80" s="6"/>
      <c r="K80" s="17" t="str">
        <f aca="false">IF(F80="","",IF(F80&lt;=250,"ja — Kleinbetrag",IF(J80="Firma","ja","NEIN — Beleg umschreiben lassen")))</f>
        <v/>
      </c>
      <c r="L80" s="13"/>
      <c r="M80" s="17" t="str">
        <f aca="false">IF(F80="","",IF(E80="Kraftstoff Privat-Pkw","NICHT BUCHEN — km-Pauschale nutzen",IF(E80="Private Kleidung","NICHT ABZUGSFAEHIG (§ 12 Nr. 1 EStG)",IF(L80="","offen — noch nicht erstattet","erledigt"))))</f>
        <v/>
      </c>
    </row>
    <row r="81" customFormat="false" ht="15" hidden="false" customHeight="false" outlineLevel="0" collapsed="false">
      <c r="A81" s="6"/>
      <c r="B81" s="13"/>
      <c r="C81" s="6"/>
      <c r="D81" s="6"/>
      <c r="E81" s="6"/>
      <c r="F81" s="14"/>
      <c r="G81" s="15" t="n">
        <v>0.19</v>
      </c>
      <c r="H81" s="16" t="str">
        <f aca="false">IF(OR(F81="",G81=""),"",ROUND(F81-F81/(1+G81),2))</f>
        <v/>
      </c>
      <c r="I81" s="16" t="str">
        <f aca="false">IF(F81="","",ROUND(F81-H81,2))</f>
        <v/>
      </c>
      <c r="J81" s="6"/>
      <c r="K81" s="17" t="str">
        <f aca="false">IF(F81="","",IF(F81&lt;=250,"ja — Kleinbetrag",IF(J81="Firma","ja","NEIN — Beleg umschreiben lassen")))</f>
        <v/>
      </c>
      <c r="L81" s="13"/>
      <c r="M81" s="17" t="str">
        <f aca="false">IF(F81="","",IF(E81="Kraftstoff Privat-Pkw","NICHT BUCHEN — km-Pauschale nutzen",IF(E81="Private Kleidung","NICHT ABZUGSFAEHIG (§ 12 Nr. 1 EStG)",IF(L81="","offen — noch nicht erstattet","erledigt"))))</f>
        <v/>
      </c>
    </row>
    <row r="82" customFormat="false" ht="15" hidden="false" customHeight="false" outlineLevel="0" collapsed="false">
      <c r="A82" s="6"/>
      <c r="B82" s="13"/>
      <c r="C82" s="6"/>
      <c r="D82" s="6"/>
      <c r="E82" s="6"/>
      <c r="F82" s="14"/>
      <c r="G82" s="15" t="n">
        <v>0.19</v>
      </c>
      <c r="H82" s="16" t="str">
        <f aca="false">IF(OR(F82="",G82=""),"",ROUND(F82-F82/(1+G82),2))</f>
        <v/>
      </c>
      <c r="I82" s="16" t="str">
        <f aca="false">IF(F82="","",ROUND(F82-H82,2))</f>
        <v/>
      </c>
      <c r="J82" s="6"/>
      <c r="K82" s="17" t="str">
        <f aca="false">IF(F82="","",IF(F82&lt;=250,"ja — Kleinbetrag",IF(J82="Firma","ja","NEIN — Beleg umschreiben lassen")))</f>
        <v/>
      </c>
      <c r="L82" s="13"/>
      <c r="M82" s="17" t="str">
        <f aca="false">IF(F82="","",IF(E82="Kraftstoff Privat-Pkw","NICHT BUCHEN — km-Pauschale nutzen",IF(E82="Private Kleidung","NICHT ABZUGSFAEHIG (§ 12 Nr. 1 EStG)",IF(L82="","offen — noch nicht erstattet","erledigt"))))</f>
        <v/>
      </c>
    </row>
    <row r="83" customFormat="false" ht="15" hidden="false" customHeight="false" outlineLevel="0" collapsed="false">
      <c r="A83" s="6"/>
      <c r="B83" s="13"/>
      <c r="C83" s="6"/>
      <c r="D83" s="6"/>
      <c r="E83" s="6"/>
      <c r="F83" s="14"/>
      <c r="G83" s="15" t="n">
        <v>0.19</v>
      </c>
      <c r="H83" s="16" t="str">
        <f aca="false">IF(OR(F83="",G83=""),"",ROUND(F83-F83/(1+G83),2))</f>
        <v/>
      </c>
      <c r="I83" s="16" t="str">
        <f aca="false">IF(F83="","",ROUND(F83-H83,2))</f>
        <v/>
      </c>
      <c r="J83" s="6"/>
      <c r="K83" s="17" t="str">
        <f aca="false">IF(F83="","",IF(F83&lt;=250,"ja — Kleinbetrag",IF(J83="Firma","ja","NEIN — Beleg umschreiben lassen")))</f>
        <v/>
      </c>
      <c r="L83" s="13"/>
      <c r="M83" s="17" t="str">
        <f aca="false">IF(F83="","",IF(E83="Kraftstoff Privat-Pkw","NICHT BUCHEN — km-Pauschale nutzen",IF(E83="Private Kleidung","NICHT ABZUGSFAEHIG (§ 12 Nr. 1 EStG)",IF(L83="","offen — noch nicht erstattet","erledigt"))))</f>
        <v/>
      </c>
    </row>
    <row r="84" customFormat="false" ht="15" hidden="false" customHeight="false" outlineLevel="0" collapsed="false">
      <c r="A84" s="6"/>
      <c r="B84" s="13"/>
      <c r="C84" s="6"/>
      <c r="D84" s="6"/>
      <c r="E84" s="6"/>
      <c r="F84" s="14"/>
      <c r="G84" s="15" t="n">
        <v>0.19</v>
      </c>
      <c r="H84" s="16" t="str">
        <f aca="false">IF(OR(F84="",G84=""),"",ROUND(F84-F84/(1+G84),2))</f>
        <v/>
      </c>
      <c r="I84" s="16" t="str">
        <f aca="false">IF(F84="","",ROUND(F84-H84,2))</f>
        <v/>
      </c>
      <c r="J84" s="6"/>
      <c r="K84" s="17" t="str">
        <f aca="false">IF(F84="","",IF(F84&lt;=250,"ja — Kleinbetrag",IF(J84="Firma","ja","NEIN — Beleg umschreiben lassen")))</f>
        <v/>
      </c>
      <c r="L84" s="13"/>
      <c r="M84" s="17" t="str">
        <f aca="false">IF(F84="","",IF(E84="Kraftstoff Privat-Pkw","NICHT BUCHEN — km-Pauschale nutzen",IF(E84="Private Kleidung","NICHT ABZUGSFAEHIG (§ 12 Nr. 1 EStG)",IF(L84="","offen — noch nicht erstattet","erledigt"))))</f>
        <v/>
      </c>
    </row>
    <row r="85" customFormat="false" ht="15" hidden="false" customHeight="false" outlineLevel="0" collapsed="false">
      <c r="A85" s="6"/>
      <c r="B85" s="13"/>
      <c r="C85" s="6"/>
      <c r="D85" s="6"/>
      <c r="E85" s="6"/>
      <c r="F85" s="14"/>
      <c r="G85" s="15" t="n">
        <v>0.19</v>
      </c>
      <c r="H85" s="16" t="str">
        <f aca="false">IF(OR(F85="",G85=""),"",ROUND(F85-F85/(1+G85),2))</f>
        <v/>
      </c>
      <c r="I85" s="16" t="str">
        <f aca="false">IF(F85="","",ROUND(F85-H85,2))</f>
        <v/>
      </c>
      <c r="J85" s="6"/>
      <c r="K85" s="17" t="str">
        <f aca="false">IF(F85="","",IF(F85&lt;=250,"ja — Kleinbetrag",IF(J85="Firma","ja","NEIN — Beleg umschreiben lassen")))</f>
        <v/>
      </c>
      <c r="L85" s="13"/>
      <c r="M85" s="17" t="str">
        <f aca="false">IF(F85="","",IF(E85="Kraftstoff Privat-Pkw","NICHT BUCHEN — km-Pauschale nutzen",IF(E85="Private Kleidung","NICHT ABZUGSFAEHIG (§ 12 Nr. 1 EStG)",IF(L85="","offen — noch nicht erstattet","erledigt"))))</f>
        <v/>
      </c>
    </row>
    <row r="86" customFormat="false" ht="15" hidden="false" customHeight="false" outlineLevel="0" collapsed="false">
      <c r="A86" s="6"/>
      <c r="B86" s="13"/>
      <c r="C86" s="6"/>
      <c r="D86" s="6"/>
      <c r="E86" s="6"/>
      <c r="F86" s="14"/>
      <c r="G86" s="15" t="n">
        <v>0.19</v>
      </c>
      <c r="H86" s="16" t="str">
        <f aca="false">IF(OR(F86="",G86=""),"",ROUND(F86-F86/(1+G86),2))</f>
        <v/>
      </c>
      <c r="I86" s="16" t="str">
        <f aca="false">IF(F86="","",ROUND(F86-H86,2))</f>
        <v/>
      </c>
      <c r="J86" s="6"/>
      <c r="K86" s="17" t="str">
        <f aca="false">IF(F86="","",IF(F86&lt;=250,"ja — Kleinbetrag",IF(J86="Firma","ja","NEIN — Beleg umschreiben lassen")))</f>
        <v/>
      </c>
      <c r="L86" s="13"/>
      <c r="M86" s="17" t="str">
        <f aca="false">IF(F86="","",IF(E86="Kraftstoff Privat-Pkw","NICHT BUCHEN — km-Pauschale nutzen",IF(E86="Private Kleidung","NICHT ABZUGSFAEHIG (§ 12 Nr. 1 EStG)",IF(L86="","offen — noch nicht erstattet","erledigt"))))</f>
        <v/>
      </c>
    </row>
    <row r="87" customFormat="false" ht="15" hidden="false" customHeight="false" outlineLevel="0" collapsed="false">
      <c r="A87" s="6"/>
      <c r="B87" s="13"/>
      <c r="C87" s="6"/>
      <c r="D87" s="6"/>
      <c r="E87" s="6"/>
      <c r="F87" s="14"/>
      <c r="G87" s="15" t="n">
        <v>0.19</v>
      </c>
      <c r="H87" s="16" t="str">
        <f aca="false">IF(OR(F87="",G87=""),"",ROUND(F87-F87/(1+G87),2))</f>
        <v/>
      </c>
      <c r="I87" s="16" t="str">
        <f aca="false">IF(F87="","",ROUND(F87-H87,2))</f>
        <v/>
      </c>
      <c r="J87" s="6"/>
      <c r="K87" s="17" t="str">
        <f aca="false">IF(F87="","",IF(F87&lt;=250,"ja — Kleinbetrag",IF(J87="Firma","ja","NEIN — Beleg umschreiben lassen")))</f>
        <v/>
      </c>
      <c r="L87" s="13"/>
      <c r="M87" s="17" t="str">
        <f aca="false">IF(F87="","",IF(E87="Kraftstoff Privat-Pkw","NICHT BUCHEN — km-Pauschale nutzen",IF(E87="Private Kleidung","NICHT ABZUGSFAEHIG (§ 12 Nr. 1 EStG)",IF(L87="","offen — noch nicht erstattet","erledigt"))))</f>
        <v/>
      </c>
    </row>
    <row r="88" customFormat="false" ht="15" hidden="false" customHeight="false" outlineLevel="0" collapsed="false">
      <c r="A88" s="6"/>
      <c r="B88" s="13"/>
      <c r="C88" s="6"/>
      <c r="D88" s="6"/>
      <c r="E88" s="6"/>
      <c r="F88" s="14"/>
      <c r="G88" s="15" t="n">
        <v>0.19</v>
      </c>
      <c r="H88" s="16" t="str">
        <f aca="false">IF(OR(F88="",G88=""),"",ROUND(F88-F88/(1+G88),2))</f>
        <v/>
      </c>
      <c r="I88" s="16" t="str">
        <f aca="false">IF(F88="","",ROUND(F88-H88,2))</f>
        <v/>
      </c>
      <c r="J88" s="6"/>
      <c r="K88" s="17" t="str">
        <f aca="false">IF(F88="","",IF(F88&lt;=250,"ja — Kleinbetrag",IF(J88="Firma","ja","NEIN — Beleg umschreiben lassen")))</f>
        <v/>
      </c>
      <c r="L88" s="13"/>
      <c r="M88" s="17" t="str">
        <f aca="false">IF(F88="","",IF(E88="Kraftstoff Privat-Pkw","NICHT BUCHEN — km-Pauschale nutzen",IF(E88="Private Kleidung","NICHT ABZUGSFAEHIG (§ 12 Nr. 1 EStG)",IF(L88="","offen — noch nicht erstattet","erledigt"))))</f>
        <v/>
      </c>
    </row>
    <row r="89" customFormat="false" ht="15" hidden="false" customHeight="false" outlineLevel="0" collapsed="false">
      <c r="A89" s="6"/>
      <c r="B89" s="13"/>
      <c r="C89" s="6"/>
      <c r="D89" s="6"/>
      <c r="E89" s="6"/>
      <c r="F89" s="14"/>
      <c r="G89" s="15" t="n">
        <v>0.19</v>
      </c>
      <c r="H89" s="16" t="str">
        <f aca="false">IF(OR(F89="",G89=""),"",ROUND(F89-F89/(1+G89),2))</f>
        <v/>
      </c>
      <c r="I89" s="16" t="str">
        <f aca="false">IF(F89="","",ROUND(F89-H89,2))</f>
        <v/>
      </c>
      <c r="J89" s="6"/>
      <c r="K89" s="17" t="str">
        <f aca="false">IF(F89="","",IF(F89&lt;=250,"ja — Kleinbetrag",IF(J89="Firma","ja","NEIN — Beleg umschreiben lassen")))</f>
        <v/>
      </c>
      <c r="L89" s="13"/>
      <c r="M89" s="17" t="str">
        <f aca="false">IF(F89="","",IF(E89="Kraftstoff Privat-Pkw","NICHT BUCHEN — km-Pauschale nutzen",IF(E89="Private Kleidung","NICHT ABZUGSFAEHIG (§ 12 Nr. 1 EStG)",IF(L89="","offen — noch nicht erstattet","erledigt"))))</f>
        <v/>
      </c>
    </row>
    <row r="90" customFormat="false" ht="15" hidden="false" customHeight="false" outlineLevel="0" collapsed="false">
      <c r="A90" s="6"/>
      <c r="B90" s="13"/>
      <c r="C90" s="6"/>
      <c r="D90" s="6"/>
      <c r="E90" s="6"/>
      <c r="F90" s="14"/>
      <c r="G90" s="15" t="n">
        <v>0.19</v>
      </c>
      <c r="H90" s="16" t="str">
        <f aca="false">IF(OR(F90="",G90=""),"",ROUND(F90-F90/(1+G90),2))</f>
        <v/>
      </c>
      <c r="I90" s="16" t="str">
        <f aca="false">IF(F90="","",ROUND(F90-H90,2))</f>
        <v/>
      </c>
      <c r="J90" s="6"/>
      <c r="K90" s="17" t="str">
        <f aca="false">IF(F90="","",IF(F90&lt;=250,"ja — Kleinbetrag",IF(J90="Firma","ja","NEIN — Beleg umschreiben lassen")))</f>
        <v/>
      </c>
      <c r="L90" s="13"/>
      <c r="M90" s="17" t="str">
        <f aca="false">IF(F90="","",IF(E90="Kraftstoff Privat-Pkw","NICHT BUCHEN — km-Pauschale nutzen",IF(E90="Private Kleidung","NICHT ABZUGSFAEHIG (§ 12 Nr. 1 EStG)",IF(L90="","offen — noch nicht erstattet","erledigt"))))</f>
        <v/>
      </c>
    </row>
    <row r="91" customFormat="false" ht="15" hidden="false" customHeight="false" outlineLevel="0" collapsed="false">
      <c r="A91" s="6"/>
      <c r="B91" s="13"/>
      <c r="C91" s="6"/>
      <c r="D91" s="6"/>
      <c r="E91" s="6"/>
      <c r="F91" s="14"/>
      <c r="G91" s="15" t="n">
        <v>0.19</v>
      </c>
      <c r="H91" s="16" t="str">
        <f aca="false">IF(OR(F91="",G91=""),"",ROUND(F91-F91/(1+G91),2))</f>
        <v/>
      </c>
      <c r="I91" s="16" t="str">
        <f aca="false">IF(F91="","",ROUND(F91-H91,2))</f>
        <v/>
      </c>
      <c r="J91" s="6"/>
      <c r="K91" s="17" t="str">
        <f aca="false">IF(F91="","",IF(F91&lt;=250,"ja — Kleinbetrag",IF(J91="Firma","ja","NEIN — Beleg umschreiben lassen")))</f>
        <v/>
      </c>
      <c r="L91" s="13"/>
      <c r="M91" s="17" t="str">
        <f aca="false">IF(F91="","",IF(E91="Kraftstoff Privat-Pkw","NICHT BUCHEN — km-Pauschale nutzen",IF(E91="Private Kleidung","NICHT ABZUGSFAEHIG (§ 12 Nr. 1 EStG)",IF(L91="","offen — noch nicht erstattet","erledigt"))))</f>
        <v/>
      </c>
    </row>
    <row r="92" customFormat="false" ht="15" hidden="false" customHeight="false" outlineLevel="0" collapsed="false">
      <c r="A92" s="6"/>
      <c r="B92" s="13"/>
      <c r="C92" s="6"/>
      <c r="D92" s="6"/>
      <c r="E92" s="6"/>
      <c r="F92" s="14"/>
      <c r="G92" s="15" t="n">
        <v>0.19</v>
      </c>
      <c r="H92" s="16" t="str">
        <f aca="false">IF(OR(F92="",G92=""),"",ROUND(F92-F92/(1+G92),2))</f>
        <v/>
      </c>
      <c r="I92" s="16" t="str">
        <f aca="false">IF(F92="","",ROUND(F92-H92,2))</f>
        <v/>
      </c>
      <c r="J92" s="6"/>
      <c r="K92" s="17" t="str">
        <f aca="false">IF(F92="","",IF(F92&lt;=250,"ja — Kleinbetrag",IF(J92="Firma","ja","NEIN — Beleg umschreiben lassen")))</f>
        <v/>
      </c>
      <c r="L92" s="13"/>
      <c r="M92" s="17" t="str">
        <f aca="false">IF(F92="","",IF(E92="Kraftstoff Privat-Pkw","NICHT BUCHEN — km-Pauschale nutzen",IF(E92="Private Kleidung","NICHT ABZUGSFAEHIG (§ 12 Nr. 1 EStG)",IF(L92="","offen — noch nicht erstattet","erledigt"))))</f>
        <v/>
      </c>
    </row>
    <row r="93" customFormat="false" ht="15" hidden="false" customHeight="false" outlineLevel="0" collapsed="false">
      <c r="A93" s="6"/>
      <c r="B93" s="13"/>
      <c r="C93" s="6"/>
      <c r="D93" s="6"/>
      <c r="E93" s="6"/>
      <c r="F93" s="14"/>
      <c r="G93" s="15" t="n">
        <v>0.19</v>
      </c>
      <c r="H93" s="16" t="str">
        <f aca="false">IF(OR(F93="",G93=""),"",ROUND(F93-F93/(1+G93),2))</f>
        <v/>
      </c>
      <c r="I93" s="16" t="str">
        <f aca="false">IF(F93="","",ROUND(F93-H93,2))</f>
        <v/>
      </c>
      <c r="J93" s="6"/>
      <c r="K93" s="17" t="str">
        <f aca="false">IF(F93="","",IF(F93&lt;=250,"ja — Kleinbetrag",IF(J93="Firma","ja","NEIN — Beleg umschreiben lassen")))</f>
        <v/>
      </c>
      <c r="L93" s="13"/>
      <c r="M93" s="17" t="str">
        <f aca="false">IF(F93="","",IF(E93="Kraftstoff Privat-Pkw","NICHT BUCHEN — km-Pauschale nutzen",IF(E93="Private Kleidung","NICHT ABZUGSFAEHIG (§ 12 Nr. 1 EStG)",IF(L93="","offen — noch nicht erstattet","erledigt"))))</f>
        <v/>
      </c>
    </row>
    <row r="94" customFormat="false" ht="15" hidden="false" customHeight="false" outlineLevel="0" collapsed="false">
      <c r="A94" s="6"/>
      <c r="B94" s="13"/>
      <c r="C94" s="6"/>
      <c r="D94" s="6"/>
      <c r="E94" s="6"/>
      <c r="F94" s="14"/>
      <c r="G94" s="15" t="n">
        <v>0.19</v>
      </c>
      <c r="H94" s="16" t="str">
        <f aca="false">IF(OR(F94="",G94=""),"",ROUND(F94-F94/(1+G94),2))</f>
        <v/>
      </c>
      <c r="I94" s="16" t="str">
        <f aca="false">IF(F94="","",ROUND(F94-H94,2))</f>
        <v/>
      </c>
      <c r="J94" s="6"/>
      <c r="K94" s="17" t="str">
        <f aca="false">IF(F94="","",IF(F94&lt;=250,"ja — Kleinbetrag",IF(J94="Firma","ja","NEIN — Beleg umschreiben lassen")))</f>
        <v/>
      </c>
      <c r="L94" s="13"/>
      <c r="M94" s="17" t="str">
        <f aca="false">IF(F94="","",IF(E94="Kraftstoff Privat-Pkw","NICHT BUCHEN — km-Pauschale nutzen",IF(E94="Private Kleidung","NICHT ABZUGSFAEHIG (§ 12 Nr. 1 EStG)",IF(L94="","offen — noch nicht erstattet","erledigt"))))</f>
        <v/>
      </c>
    </row>
    <row r="95" customFormat="false" ht="15" hidden="false" customHeight="false" outlineLevel="0" collapsed="false">
      <c r="A95" s="6"/>
      <c r="B95" s="13"/>
      <c r="C95" s="6"/>
      <c r="D95" s="6"/>
      <c r="E95" s="6"/>
      <c r="F95" s="14"/>
      <c r="G95" s="15" t="n">
        <v>0.19</v>
      </c>
      <c r="H95" s="16" t="str">
        <f aca="false">IF(OR(F95="",G95=""),"",ROUND(F95-F95/(1+G95),2))</f>
        <v/>
      </c>
      <c r="I95" s="16" t="str">
        <f aca="false">IF(F95="","",ROUND(F95-H95,2))</f>
        <v/>
      </c>
      <c r="J95" s="6"/>
      <c r="K95" s="17" t="str">
        <f aca="false">IF(F95="","",IF(F95&lt;=250,"ja — Kleinbetrag",IF(J95="Firma","ja","NEIN — Beleg umschreiben lassen")))</f>
        <v/>
      </c>
      <c r="L95" s="13"/>
      <c r="M95" s="17" t="str">
        <f aca="false">IF(F95="","",IF(E95="Kraftstoff Privat-Pkw","NICHT BUCHEN — km-Pauschale nutzen",IF(E95="Private Kleidung","NICHT ABZUGSFAEHIG (§ 12 Nr. 1 EStG)",IF(L95="","offen — noch nicht erstattet","erledigt"))))</f>
        <v/>
      </c>
    </row>
    <row r="96" customFormat="false" ht="15" hidden="false" customHeight="false" outlineLevel="0" collapsed="false">
      <c r="A96" s="6"/>
      <c r="B96" s="13"/>
      <c r="C96" s="6"/>
      <c r="D96" s="6"/>
      <c r="E96" s="6"/>
      <c r="F96" s="14"/>
      <c r="G96" s="15" t="n">
        <v>0.19</v>
      </c>
      <c r="H96" s="16" t="str">
        <f aca="false">IF(OR(F96="",G96=""),"",ROUND(F96-F96/(1+G96),2))</f>
        <v/>
      </c>
      <c r="I96" s="16" t="str">
        <f aca="false">IF(F96="","",ROUND(F96-H96,2))</f>
        <v/>
      </c>
      <c r="J96" s="6"/>
      <c r="K96" s="17" t="str">
        <f aca="false">IF(F96="","",IF(F96&lt;=250,"ja — Kleinbetrag",IF(J96="Firma","ja","NEIN — Beleg umschreiben lassen")))</f>
        <v/>
      </c>
      <c r="L96" s="13"/>
      <c r="M96" s="17" t="str">
        <f aca="false">IF(F96="","",IF(E96="Kraftstoff Privat-Pkw","NICHT BUCHEN — km-Pauschale nutzen",IF(E96="Private Kleidung","NICHT ABZUGSFAEHIG (§ 12 Nr. 1 EStG)",IF(L96="","offen — noch nicht erstattet","erledigt"))))</f>
        <v/>
      </c>
    </row>
    <row r="97" customFormat="false" ht="15" hidden="false" customHeight="false" outlineLevel="0" collapsed="false">
      <c r="A97" s="6"/>
      <c r="B97" s="13"/>
      <c r="C97" s="6"/>
      <c r="D97" s="6"/>
      <c r="E97" s="6"/>
      <c r="F97" s="14"/>
      <c r="G97" s="15" t="n">
        <v>0.19</v>
      </c>
      <c r="H97" s="16" t="str">
        <f aca="false">IF(OR(F97="",G97=""),"",ROUND(F97-F97/(1+G97),2))</f>
        <v/>
      </c>
      <c r="I97" s="16" t="str">
        <f aca="false">IF(F97="","",ROUND(F97-H97,2))</f>
        <v/>
      </c>
      <c r="J97" s="6"/>
      <c r="K97" s="17" t="str">
        <f aca="false">IF(F97="","",IF(F97&lt;=250,"ja — Kleinbetrag",IF(J97="Firma","ja","NEIN — Beleg umschreiben lassen")))</f>
        <v/>
      </c>
      <c r="L97" s="13"/>
      <c r="M97" s="17" t="str">
        <f aca="false">IF(F97="","",IF(E97="Kraftstoff Privat-Pkw","NICHT BUCHEN — km-Pauschale nutzen",IF(E97="Private Kleidung","NICHT ABZUGSFAEHIG (§ 12 Nr. 1 EStG)",IF(L97="","offen — noch nicht erstattet","erledigt"))))</f>
        <v/>
      </c>
    </row>
    <row r="98" customFormat="false" ht="15" hidden="false" customHeight="false" outlineLevel="0" collapsed="false">
      <c r="A98" s="6"/>
      <c r="B98" s="13"/>
      <c r="C98" s="6"/>
      <c r="D98" s="6"/>
      <c r="E98" s="6"/>
      <c r="F98" s="14"/>
      <c r="G98" s="15" t="n">
        <v>0.19</v>
      </c>
      <c r="H98" s="16" t="str">
        <f aca="false">IF(OR(F98="",G98=""),"",ROUND(F98-F98/(1+G98),2))</f>
        <v/>
      </c>
      <c r="I98" s="16" t="str">
        <f aca="false">IF(F98="","",ROUND(F98-H98,2))</f>
        <v/>
      </c>
      <c r="J98" s="6"/>
      <c r="K98" s="17" t="str">
        <f aca="false">IF(F98="","",IF(F98&lt;=250,"ja — Kleinbetrag",IF(J98="Firma","ja","NEIN — Beleg umschreiben lassen")))</f>
        <v/>
      </c>
      <c r="L98" s="13"/>
      <c r="M98" s="17" t="str">
        <f aca="false">IF(F98="","",IF(E98="Kraftstoff Privat-Pkw","NICHT BUCHEN — km-Pauschale nutzen",IF(E98="Private Kleidung","NICHT ABZUGSFAEHIG (§ 12 Nr. 1 EStG)",IF(L98="","offen — noch nicht erstattet","erledigt"))))</f>
        <v/>
      </c>
    </row>
    <row r="99" customFormat="false" ht="15" hidden="false" customHeight="false" outlineLevel="0" collapsed="false">
      <c r="A99" s="6"/>
      <c r="B99" s="13"/>
      <c r="C99" s="6"/>
      <c r="D99" s="6"/>
      <c r="E99" s="6"/>
      <c r="F99" s="14"/>
      <c r="G99" s="15" t="n">
        <v>0.19</v>
      </c>
      <c r="H99" s="16" t="str">
        <f aca="false">IF(OR(F99="",G99=""),"",ROUND(F99-F99/(1+G99),2))</f>
        <v/>
      </c>
      <c r="I99" s="16" t="str">
        <f aca="false">IF(F99="","",ROUND(F99-H99,2))</f>
        <v/>
      </c>
      <c r="J99" s="6"/>
      <c r="K99" s="17" t="str">
        <f aca="false">IF(F99="","",IF(F99&lt;=250,"ja — Kleinbetrag",IF(J99="Firma","ja","NEIN — Beleg umschreiben lassen")))</f>
        <v/>
      </c>
      <c r="L99" s="13"/>
      <c r="M99" s="17" t="str">
        <f aca="false">IF(F99="","",IF(E99="Kraftstoff Privat-Pkw","NICHT BUCHEN — km-Pauschale nutzen",IF(E99="Private Kleidung","NICHT ABZUGSFAEHIG (§ 12 Nr. 1 EStG)",IF(L99="","offen — noch nicht erstattet","erledigt"))))</f>
        <v/>
      </c>
    </row>
    <row r="100" customFormat="false" ht="15" hidden="false" customHeight="false" outlineLevel="0" collapsed="false">
      <c r="A100" s="6"/>
      <c r="B100" s="13"/>
      <c r="C100" s="6"/>
      <c r="D100" s="6"/>
      <c r="E100" s="6"/>
      <c r="F100" s="14"/>
      <c r="G100" s="15" t="n">
        <v>0.19</v>
      </c>
      <c r="H100" s="16" t="str">
        <f aca="false">IF(OR(F100="",G100=""),"",ROUND(F100-F100/(1+G100),2))</f>
        <v/>
      </c>
      <c r="I100" s="16" t="str">
        <f aca="false">IF(F100="","",ROUND(F100-H100,2))</f>
        <v/>
      </c>
      <c r="J100" s="6"/>
      <c r="K100" s="17" t="str">
        <f aca="false">IF(F100="","",IF(F100&lt;=250,"ja — Kleinbetrag",IF(J100="Firma","ja","NEIN — Beleg umschreiben lassen")))</f>
        <v/>
      </c>
      <c r="L100" s="13"/>
      <c r="M100" s="17" t="str">
        <f aca="false">IF(F100="","",IF(E100="Kraftstoff Privat-Pkw","NICHT BUCHEN — km-Pauschale nutzen",IF(E100="Private Kleidung","NICHT ABZUGSFAEHIG (§ 12 Nr. 1 EStG)",IF(L100="","offen — noch nicht erstattet","erledigt"))))</f>
        <v/>
      </c>
    </row>
    <row r="101" customFormat="false" ht="15" hidden="false" customHeight="false" outlineLevel="0" collapsed="false">
      <c r="A101" s="6"/>
      <c r="B101" s="13"/>
      <c r="C101" s="6"/>
      <c r="D101" s="6"/>
      <c r="E101" s="6"/>
      <c r="F101" s="14"/>
      <c r="G101" s="15" t="n">
        <v>0.19</v>
      </c>
      <c r="H101" s="16" t="str">
        <f aca="false">IF(OR(F101="",G101=""),"",ROUND(F101-F101/(1+G101),2))</f>
        <v/>
      </c>
      <c r="I101" s="16" t="str">
        <f aca="false">IF(F101="","",ROUND(F101-H101,2))</f>
        <v/>
      </c>
      <c r="J101" s="6"/>
      <c r="K101" s="17" t="str">
        <f aca="false">IF(F101="","",IF(F101&lt;=250,"ja — Kleinbetrag",IF(J101="Firma","ja","NEIN — Beleg umschreiben lassen")))</f>
        <v/>
      </c>
      <c r="L101" s="13"/>
      <c r="M101" s="17" t="str">
        <f aca="false">IF(F101="","",IF(E101="Kraftstoff Privat-Pkw","NICHT BUCHEN — km-Pauschale nutzen",IF(E101="Private Kleidung","NICHT ABZUGSFAEHIG (§ 12 Nr. 1 EStG)",IF(L101="","offen — noch nicht erstattet","erledigt"))))</f>
        <v/>
      </c>
    </row>
    <row r="102" customFormat="false" ht="15" hidden="false" customHeight="false" outlineLevel="0" collapsed="false">
      <c r="A102" s="6"/>
      <c r="B102" s="13"/>
      <c r="C102" s="6"/>
      <c r="D102" s="6"/>
      <c r="E102" s="6"/>
      <c r="F102" s="14"/>
      <c r="G102" s="15" t="n">
        <v>0.19</v>
      </c>
      <c r="H102" s="16" t="str">
        <f aca="false">IF(OR(F102="",G102=""),"",ROUND(F102-F102/(1+G102),2))</f>
        <v/>
      </c>
      <c r="I102" s="16" t="str">
        <f aca="false">IF(F102="","",ROUND(F102-H102,2))</f>
        <v/>
      </c>
      <c r="J102" s="6"/>
      <c r="K102" s="17" t="str">
        <f aca="false">IF(F102="","",IF(F102&lt;=250,"ja — Kleinbetrag",IF(J102="Firma","ja","NEIN — Beleg umschreiben lassen")))</f>
        <v/>
      </c>
      <c r="L102" s="13"/>
      <c r="M102" s="17" t="str">
        <f aca="false">IF(F102="","",IF(E102="Kraftstoff Privat-Pkw","NICHT BUCHEN — km-Pauschale nutzen",IF(E102="Private Kleidung","NICHT ABZUGSFAEHIG (§ 12 Nr. 1 EStG)",IF(L102="","offen — noch nicht erstattet","erledigt"))))</f>
        <v/>
      </c>
    </row>
    <row r="103" customFormat="false" ht="15" hidden="false" customHeight="false" outlineLevel="0" collapsed="false">
      <c r="A103" s="6"/>
      <c r="B103" s="13"/>
      <c r="C103" s="6"/>
      <c r="D103" s="6"/>
      <c r="E103" s="6"/>
      <c r="F103" s="14"/>
      <c r="G103" s="15" t="n">
        <v>0.19</v>
      </c>
      <c r="H103" s="16" t="str">
        <f aca="false">IF(OR(F103="",G103=""),"",ROUND(F103-F103/(1+G103),2))</f>
        <v/>
      </c>
      <c r="I103" s="16" t="str">
        <f aca="false">IF(F103="","",ROUND(F103-H103,2))</f>
        <v/>
      </c>
      <c r="J103" s="6"/>
      <c r="K103" s="17" t="str">
        <f aca="false">IF(F103="","",IF(F103&lt;=250,"ja — Kleinbetrag",IF(J103="Firma","ja","NEIN — Beleg umschreiben lassen")))</f>
        <v/>
      </c>
      <c r="L103" s="13"/>
      <c r="M103" s="17" t="str">
        <f aca="false">IF(F103="","",IF(E103="Kraftstoff Privat-Pkw","NICHT BUCHEN — km-Pauschale nutzen",IF(E103="Private Kleidung","NICHT ABZUGSFAEHIG (§ 12 Nr. 1 EStG)",IF(L103="","offen — noch nicht erstattet","erledigt"))))</f>
        <v/>
      </c>
    </row>
    <row r="104" customFormat="false" ht="15" hidden="false" customHeight="false" outlineLevel="0" collapsed="false">
      <c r="A104" s="6"/>
      <c r="B104" s="13"/>
      <c r="C104" s="6"/>
      <c r="D104" s="6"/>
      <c r="E104" s="6"/>
      <c r="F104" s="14"/>
      <c r="G104" s="15" t="n">
        <v>0.19</v>
      </c>
      <c r="H104" s="16" t="str">
        <f aca="false">IF(OR(F104="",G104=""),"",ROUND(F104-F104/(1+G104),2))</f>
        <v/>
      </c>
      <c r="I104" s="16" t="str">
        <f aca="false">IF(F104="","",ROUND(F104-H104,2))</f>
        <v/>
      </c>
      <c r="J104" s="6"/>
      <c r="K104" s="17" t="str">
        <f aca="false">IF(F104="","",IF(F104&lt;=250,"ja — Kleinbetrag",IF(J104="Firma","ja","NEIN — Beleg umschreiben lassen")))</f>
        <v/>
      </c>
      <c r="L104" s="13"/>
      <c r="M104" s="17" t="str">
        <f aca="false">IF(F104="","",IF(E104="Kraftstoff Privat-Pkw","NICHT BUCHEN — km-Pauschale nutzen",IF(E104="Private Kleidung","NICHT ABZUGSFAEHIG (§ 12 Nr. 1 EStG)",IF(L104="","offen — noch nicht erstattet","erledigt"))))</f>
        <v/>
      </c>
    </row>
    <row r="105" customFormat="false" ht="15" hidden="false" customHeight="false" outlineLevel="0" collapsed="false">
      <c r="A105" s="6"/>
      <c r="B105" s="13"/>
      <c r="C105" s="6"/>
      <c r="D105" s="6"/>
      <c r="E105" s="6"/>
      <c r="F105" s="14"/>
      <c r="G105" s="15" t="n">
        <v>0.19</v>
      </c>
      <c r="H105" s="16" t="str">
        <f aca="false">IF(OR(F105="",G105=""),"",ROUND(F105-F105/(1+G105),2))</f>
        <v/>
      </c>
      <c r="I105" s="16" t="str">
        <f aca="false">IF(F105="","",ROUND(F105-H105,2))</f>
        <v/>
      </c>
      <c r="J105" s="6"/>
      <c r="K105" s="17" t="str">
        <f aca="false">IF(F105="","",IF(F105&lt;=250,"ja — Kleinbetrag",IF(J105="Firma","ja","NEIN — Beleg umschreiben lassen")))</f>
        <v/>
      </c>
      <c r="L105" s="13"/>
      <c r="M105" s="17" t="str">
        <f aca="false">IF(F105="","",IF(E105="Kraftstoff Privat-Pkw","NICHT BUCHEN — km-Pauschale nutzen",IF(E105="Private Kleidung","NICHT ABZUGSFAEHIG (§ 12 Nr. 1 EStG)",IF(L105="","offen — noch nicht erstattet","erledigt"))))</f>
        <v/>
      </c>
    </row>
    <row r="106" customFormat="false" ht="15" hidden="false" customHeight="false" outlineLevel="0" collapsed="false">
      <c r="A106" s="6"/>
      <c r="B106" s="13"/>
      <c r="C106" s="6"/>
      <c r="D106" s="6"/>
      <c r="E106" s="6"/>
      <c r="F106" s="14"/>
      <c r="G106" s="15" t="n">
        <v>0.19</v>
      </c>
      <c r="H106" s="16" t="str">
        <f aca="false">IF(OR(F106="",G106=""),"",ROUND(F106-F106/(1+G106),2))</f>
        <v/>
      </c>
      <c r="I106" s="16" t="str">
        <f aca="false">IF(F106="","",ROUND(F106-H106,2))</f>
        <v/>
      </c>
      <c r="J106" s="6"/>
      <c r="K106" s="17" t="str">
        <f aca="false">IF(F106="","",IF(F106&lt;=250,"ja — Kleinbetrag",IF(J106="Firma","ja","NEIN — Beleg umschreiben lassen")))</f>
        <v/>
      </c>
      <c r="L106" s="13"/>
      <c r="M106" s="17" t="str">
        <f aca="false">IF(F106="","",IF(E106="Kraftstoff Privat-Pkw","NICHT BUCHEN — km-Pauschale nutzen",IF(E106="Private Kleidung","NICHT ABZUGSFAEHIG (§ 12 Nr. 1 EStG)",IF(L106="","offen — noch nicht erstattet","erledigt"))))</f>
        <v/>
      </c>
    </row>
    <row r="107" customFormat="false" ht="15" hidden="false" customHeight="false" outlineLevel="0" collapsed="false">
      <c r="A107" s="6"/>
      <c r="B107" s="13"/>
      <c r="C107" s="6"/>
      <c r="D107" s="6"/>
      <c r="E107" s="6"/>
      <c r="F107" s="14"/>
      <c r="G107" s="15" t="n">
        <v>0.19</v>
      </c>
      <c r="H107" s="16" t="str">
        <f aca="false">IF(OR(F107="",G107=""),"",ROUND(F107-F107/(1+G107),2))</f>
        <v/>
      </c>
      <c r="I107" s="16" t="str">
        <f aca="false">IF(F107="","",ROUND(F107-H107,2))</f>
        <v/>
      </c>
      <c r="J107" s="6"/>
      <c r="K107" s="17" t="str">
        <f aca="false">IF(F107="","",IF(F107&lt;=250,"ja — Kleinbetrag",IF(J107="Firma","ja","NEIN — Beleg umschreiben lassen")))</f>
        <v/>
      </c>
      <c r="L107" s="13"/>
      <c r="M107" s="17" t="str">
        <f aca="false">IF(F107="","",IF(E107="Kraftstoff Privat-Pkw","NICHT BUCHEN — km-Pauschale nutzen",IF(E107="Private Kleidung","NICHT ABZUGSFAEHIG (§ 12 Nr. 1 EStG)",IF(L107="","offen — noch nicht erstattet","erledigt"))))</f>
        <v/>
      </c>
    </row>
    <row r="108" customFormat="false" ht="15" hidden="false" customHeight="false" outlineLevel="0" collapsed="false">
      <c r="A108" s="6"/>
      <c r="B108" s="13"/>
      <c r="C108" s="6"/>
      <c r="D108" s="6"/>
      <c r="E108" s="6"/>
      <c r="F108" s="14"/>
      <c r="G108" s="15" t="n">
        <v>0.19</v>
      </c>
      <c r="H108" s="16" t="str">
        <f aca="false">IF(OR(F108="",G108=""),"",ROUND(F108-F108/(1+G108),2))</f>
        <v/>
      </c>
      <c r="I108" s="16" t="str">
        <f aca="false">IF(F108="","",ROUND(F108-H108,2))</f>
        <v/>
      </c>
      <c r="J108" s="6"/>
      <c r="K108" s="17" t="str">
        <f aca="false">IF(F108="","",IF(F108&lt;=250,"ja — Kleinbetrag",IF(J108="Firma","ja","NEIN — Beleg umschreiben lassen")))</f>
        <v/>
      </c>
      <c r="L108" s="13"/>
      <c r="M108" s="17" t="str">
        <f aca="false">IF(F108="","",IF(E108="Kraftstoff Privat-Pkw","NICHT BUCHEN — km-Pauschale nutzen",IF(E108="Private Kleidung","NICHT ABZUGSFAEHIG (§ 12 Nr. 1 EStG)",IF(L108="","offen — noch nicht erstattet","erledigt"))))</f>
        <v/>
      </c>
    </row>
    <row r="109" customFormat="false" ht="15" hidden="false" customHeight="false" outlineLevel="0" collapsed="false">
      <c r="A109" s="6"/>
      <c r="B109" s="13"/>
      <c r="C109" s="6"/>
      <c r="D109" s="6"/>
      <c r="E109" s="6"/>
      <c r="F109" s="14"/>
      <c r="G109" s="15" t="n">
        <v>0.19</v>
      </c>
      <c r="H109" s="16" t="str">
        <f aca="false">IF(OR(F109="",G109=""),"",ROUND(F109-F109/(1+G109),2))</f>
        <v/>
      </c>
      <c r="I109" s="16" t="str">
        <f aca="false">IF(F109="","",ROUND(F109-H109,2))</f>
        <v/>
      </c>
      <c r="J109" s="6"/>
      <c r="K109" s="17" t="str">
        <f aca="false">IF(F109="","",IF(F109&lt;=250,"ja — Kleinbetrag",IF(J109="Firma","ja","NEIN — Beleg umschreiben lassen")))</f>
        <v/>
      </c>
      <c r="L109" s="13"/>
      <c r="M109" s="17" t="str">
        <f aca="false">IF(F109="","",IF(E109="Kraftstoff Privat-Pkw","NICHT BUCHEN — km-Pauschale nutzen",IF(E109="Private Kleidung","NICHT ABZUGSFAEHIG (§ 12 Nr. 1 EStG)",IF(L109="","offen — noch nicht erstattet","erledigt"))))</f>
        <v/>
      </c>
    </row>
    <row r="110" customFormat="false" ht="15" hidden="false" customHeight="false" outlineLevel="0" collapsed="false">
      <c r="A110" s="6"/>
      <c r="B110" s="13"/>
      <c r="C110" s="6"/>
      <c r="D110" s="6"/>
      <c r="E110" s="6"/>
      <c r="F110" s="14"/>
      <c r="G110" s="15" t="n">
        <v>0.19</v>
      </c>
      <c r="H110" s="16" t="str">
        <f aca="false">IF(OR(F110="",G110=""),"",ROUND(F110-F110/(1+G110),2))</f>
        <v/>
      </c>
      <c r="I110" s="16" t="str">
        <f aca="false">IF(F110="","",ROUND(F110-H110,2))</f>
        <v/>
      </c>
      <c r="J110" s="6"/>
      <c r="K110" s="17" t="str">
        <f aca="false">IF(F110="","",IF(F110&lt;=250,"ja — Kleinbetrag",IF(J110="Firma","ja","NEIN — Beleg umschreiben lassen")))</f>
        <v/>
      </c>
      <c r="L110" s="13"/>
      <c r="M110" s="17" t="str">
        <f aca="false">IF(F110="","",IF(E110="Kraftstoff Privat-Pkw","NICHT BUCHEN — km-Pauschale nutzen",IF(E110="Private Kleidung","NICHT ABZUGSFAEHIG (§ 12 Nr. 1 EStG)",IF(L110="","offen — noch nicht erstattet","erledigt"))))</f>
        <v/>
      </c>
    </row>
    <row r="111" customFormat="false" ht="15" hidden="false" customHeight="false" outlineLevel="0" collapsed="false">
      <c r="A111" s="6"/>
      <c r="B111" s="13"/>
      <c r="C111" s="6"/>
      <c r="D111" s="6"/>
      <c r="E111" s="6"/>
      <c r="F111" s="14"/>
      <c r="G111" s="15" t="n">
        <v>0.19</v>
      </c>
      <c r="H111" s="16" t="str">
        <f aca="false">IF(OR(F111="",G111=""),"",ROUND(F111-F111/(1+G111),2))</f>
        <v/>
      </c>
      <c r="I111" s="16" t="str">
        <f aca="false">IF(F111="","",ROUND(F111-H111,2))</f>
        <v/>
      </c>
      <c r="J111" s="6"/>
      <c r="K111" s="17" t="str">
        <f aca="false">IF(F111="","",IF(F111&lt;=250,"ja — Kleinbetrag",IF(J111="Firma","ja","NEIN — Beleg umschreiben lassen")))</f>
        <v/>
      </c>
      <c r="L111" s="13"/>
      <c r="M111" s="17" t="str">
        <f aca="false">IF(F111="","",IF(E111="Kraftstoff Privat-Pkw","NICHT BUCHEN — km-Pauschale nutzen",IF(E111="Private Kleidung","NICHT ABZUGSFAEHIG (§ 12 Nr. 1 EStG)",IF(L111="","offen — noch nicht erstattet","erledigt"))))</f>
        <v/>
      </c>
    </row>
    <row r="112" customFormat="false" ht="15" hidden="false" customHeight="false" outlineLevel="0" collapsed="false">
      <c r="A112" s="6"/>
      <c r="B112" s="13"/>
      <c r="C112" s="6"/>
      <c r="D112" s="6"/>
      <c r="E112" s="6"/>
      <c r="F112" s="14"/>
      <c r="G112" s="15" t="n">
        <v>0.19</v>
      </c>
      <c r="H112" s="16" t="str">
        <f aca="false">IF(OR(F112="",G112=""),"",ROUND(F112-F112/(1+G112),2))</f>
        <v/>
      </c>
      <c r="I112" s="16" t="str">
        <f aca="false">IF(F112="","",ROUND(F112-H112,2))</f>
        <v/>
      </c>
      <c r="J112" s="6"/>
      <c r="K112" s="17" t="str">
        <f aca="false">IF(F112="","",IF(F112&lt;=250,"ja — Kleinbetrag",IF(J112="Firma","ja","NEIN — Beleg umschreiben lassen")))</f>
        <v/>
      </c>
      <c r="L112" s="13"/>
      <c r="M112" s="17" t="str">
        <f aca="false">IF(F112="","",IF(E112="Kraftstoff Privat-Pkw","NICHT BUCHEN — km-Pauschale nutzen",IF(E112="Private Kleidung","NICHT ABZUGSFAEHIG (§ 12 Nr. 1 EStG)",IF(L112="","offen — noch nicht erstattet","erledigt"))))</f>
        <v/>
      </c>
    </row>
    <row r="113" customFormat="false" ht="15" hidden="false" customHeight="false" outlineLevel="0" collapsed="false">
      <c r="A113" s="6"/>
      <c r="B113" s="13"/>
      <c r="C113" s="6"/>
      <c r="D113" s="6"/>
      <c r="E113" s="6"/>
      <c r="F113" s="14"/>
      <c r="G113" s="15" t="n">
        <v>0.19</v>
      </c>
      <c r="H113" s="16" t="str">
        <f aca="false">IF(OR(F113="",G113=""),"",ROUND(F113-F113/(1+G113),2))</f>
        <v/>
      </c>
      <c r="I113" s="16" t="str">
        <f aca="false">IF(F113="","",ROUND(F113-H113,2))</f>
        <v/>
      </c>
      <c r="J113" s="6"/>
      <c r="K113" s="17" t="str">
        <f aca="false">IF(F113="","",IF(F113&lt;=250,"ja — Kleinbetrag",IF(J113="Firma","ja","NEIN — Beleg umschreiben lassen")))</f>
        <v/>
      </c>
      <c r="L113" s="13"/>
      <c r="M113" s="17" t="str">
        <f aca="false">IF(F113="","",IF(E113="Kraftstoff Privat-Pkw","NICHT BUCHEN — km-Pauschale nutzen",IF(E113="Private Kleidung","NICHT ABZUGSFAEHIG (§ 12 Nr. 1 EStG)",IF(L113="","offen — noch nicht erstattet","erledigt"))))</f>
        <v/>
      </c>
    </row>
    <row r="114" customFormat="false" ht="15" hidden="false" customHeight="false" outlineLevel="0" collapsed="false">
      <c r="A114" s="6"/>
      <c r="B114" s="13"/>
      <c r="C114" s="6"/>
      <c r="D114" s="6"/>
      <c r="E114" s="6"/>
      <c r="F114" s="14"/>
      <c r="G114" s="15" t="n">
        <v>0.19</v>
      </c>
      <c r="H114" s="16" t="str">
        <f aca="false">IF(OR(F114="",G114=""),"",ROUND(F114-F114/(1+G114),2))</f>
        <v/>
      </c>
      <c r="I114" s="16" t="str">
        <f aca="false">IF(F114="","",ROUND(F114-H114,2))</f>
        <v/>
      </c>
      <c r="J114" s="6"/>
      <c r="K114" s="17" t="str">
        <f aca="false">IF(F114="","",IF(F114&lt;=250,"ja — Kleinbetrag",IF(J114="Firma","ja","NEIN — Beleg umschreiben lassen")))</f>
        <v/>
      </c>
      <c r="L114" s="13"/>
      <c r="M114" s="17" t="str">
        <f aca="false">IF(F114="","",IF(E114="Kraftstoff Privat-Pkw","NICHT BUCHEN — km-Pauschale nutzen",IF(E114="Private Kleidung","NICHT ABZUGSFAEHIG (§ 12 Nr. 1 EStG)",IF(L114="","offen — noch nicht erstattet","erledigt"))))</f>
        <v/>
      </c>
    </row>
    <row r="115" customFormat="false" ht="15" hidden="false" customHeight="false" outlineLevel="0" collapsed="false">
      <c r="A115" s="6"/>
      <c r="B115" s="13"/>
      <c r="C115" s="6"/>
      <c r="D115" s="6"/>
      <c r="E115" s="6"/>
      <c r="F115" s="14"/>
      <c r="G115" s="15" t="n">
        <v>0.19</v>
      </c>
      <c r="H115" s="16" t="str">
        <f aca="false">IF(OR(F115="",G115=""),"",ROUND(F115-F115/(1+G115),2))</f>
        <v/>
      </c>
      <c r="I115" s="16" t="str">
        <f aca="false">IF(F115="","",ROUND(F115-H115,2))</f>
        <v/>
      </c>
      <c r="J115" s="6"/>
      <c r="K115" s="17" t="str">
        <f aca="false">IF(F115="","",IF(F115&lt;=250,"ja — Kleinbetrag",IF(J115="Firma","ja","NEIN — Beleg umschreiben lassen")))</f>
        <v/>
      </c>
      <c r="L115" s="13"/>
      <c r="M115" s="17" t="str">
        <f aca="false">IF(F115="","",IF(E115="Kraftstoff Privat-Pkw","NICHT BUCHEN — km-Pauschale nutzen",IF(E115="Private Kleidung","NICHT ABZUGSFAEHIG (§ 12 Nr. 1 EStG)",IF(L115="","offen — noch nicht erstattet","erledigt"))))</f>
        <v/>
      </c>
    </row>
    <row r="116" customFormat="false" ht="15" hidden="false" customHeight="false" outlineLevel="0" collapsed="false">
      <c r="A116" s="6"/>
      <c r="B116" s="13"/>
      <c r="C116" s="6"/>
      <c r="D116" s="6"/>
      <c r="E116" s="6"/>
      <c r="F116" s="14"/>
      <c r="G116" s="15" t="n">
        <v>0.19</v>
      </c>
      <c r="H116" s="16" t="str">
        <f aca="false">IF(OR(F116="",G116=""),"",ROUND(F116-F116/(1+G116),2))</f>
        <v/>
      </c>
      <c r="I116" s="16" t="str">
        <f aca="false">IF(F116="","",ROUND(F116-H116,2))</f>
        <v/>
      </c>
      <c r="J116" s="6"/>
      <c r="K116" s="17" t="str">
        <f aca="false">IF(F116="","",IF(F116&lt;=250,"ja — Kleinbetrag",IF(J116="Firma","ja","NEIN — Beleg umschreiben lassen")))</f>
        <v/>
      </c>
      <c r="L116" s="13"/>
      <c r="M116" s="17" t="str">
        <f aca="false">IF(F116="","",IF(E116="Kraftstoff Privat-Pkw","NICHT BUCHEN — km-Pauschale nutzen",IF(E116="Private Kleidung","NICHT ABZUGSFAEHIG (§ 12 Nr. 1 EStG)",IF(L116="","offen — noch nicht erstattet","erledigt"))))</f>
        <v/>
      </c>
    </row>
    <row r="117" customFormat="false" ht="15" hidden="false" customHeight="false" outlineLevel="0" collapsed="false">
      <c r="A117" s="6"/>
      <c r="B117" s="13"/>
      <c r="C117" s="6"/>
      <c r="D117" s="6"/>
      <c r="E117" s="6"/>
      <c r="F117" s="14"/>
      <c r="G117" s="15" t="n">
        <v>0.19</v>
      </c>
      <c r="H117" s="16" t="str">
        <f aca="false">IF(OR(F117="",G117=""),"",ROUND(F117-F117/(1+G117),2))</f>
        <v/>
      </c>
      <c r="I117" s="16" t="str">
        <f aca="false">IF(F117="","",ROUND(F117-H117,2))</f>
        <v/>
      </c>
      <c r="J117" s="6"/>
      <c r="K117" s="17" t="str">
        <f aca="false">IF(F117="","",IF(F117&lt;=250,"ja — Kleinbetrag",IF(J117="Firma","ja","NEIN — Beleg umschreiben lassen")))</f>
        <v/>
      </c>
      <c r="L117" s="13"/>
      <c r="M117" s="17" t="str">
        <f aca="false">IF(F117="","",IF(E117="Kraftstoff Privat-Pkw","NICHT BUCHEN — km-Pauschale nutzen",IF(E117="Private Kleidung","NICHT ABZUGSFAEHIG (§ 12 Nr. 1 EStG)",IF(L117="","offen — noch nicht erstattet","erledigt"))))</f>
        <v/>
      </c>
    </row>
    <row r="118" customFormat="false" ht="15" hidden="false" customHeight="false" outlineLevel="0" collapsed="false">
      <c r="A118" s="6"/>
      <c r="B118" s="13"/>
      <c r="C118" s="6"/>
      <c r="D118" s="6"/>
      <c r="E118" s="6"/>
      <c r="F118" s="14"/>
      <c r="G118" s="15" t="n">
        <v>0.19</v>
      </c>
      <c r="H118" s="16" t="str">
        <f aca="false">IF(OR(F118="",G118=""),"",ROUND(F118-F118/(1+G118),2))</f>
        <v/>
      </c>
      <c r="I118" s="16" t="str">
        <f aca="false">IF(F118="","",ROUND(F118-H118,2))</f>
        <v/>
      </c>
      <c r="J118" s="6"/>
      <c r="K118" s="17" t="str">
        <f aca="false">IF(F118="","",IF(F118&lt;=250,"ja — Kleinbetrag",IF(J118="Firma","ja","NEIN — Beleg umschreiben lassen")))</f>
        <v/>
      </c>
      <c r="L118" s="13"/>
      <c r="M118" s="17" t="str">
        <f aca="false">IF(F118="","",IF(E118="Kraftstoff Privat-Pkw","NICHT BUCHEN — km-Pauschale nutzen",IF(E118="Private Kleidung","NICHT ABZUGSFAEHIG (§ 12 Nr. 1 EStG)",IF(L118="","offen — noch nicht erstattet","erledigt"))))</f>
        <v/>
      </c>
    </row>
    <row r="119" customFormat="false" ht="15" hidden="false" customHeight="false" outlineLevel="0" collapsed="false">
      <c r="A119" s="6"/>
      <c r="B119" s="13"/>
      <c r="C119" s="6"/>
      <c r="D119" s="6"/>
      <c r="E119" s="6"/>
      <c r="F119" s="14"/>
      <c r="G119" s="15" t="n">
        <v>0.19</v>
      </c>
      <c r="H119" s="16" t="str">
        <f aca="false">IF(OR(F119="",G119=""),"",ROUND(F119-F119/(1+G119),2))</f>
        <v/>
      </c>
      <c r="I119" s="16" t="str">
        <f aca="false">IF(F119="","",ROUND(F119-H119,2))</f>
        <v/>
      </c>
      <c r="J119" s="6"/>
      <c r="K119" s="17" t="str">
        <f aca="false">IF(F119="","",IF(F119&lt;=250,"ja — Kleinbetrag",IF(J119="Firma","ja","NEIN — Beleg umschreiben lassen")))</f>
        <v/>
      </c>
      <c r="L119" s="13"/>
      <c r="M119" s="17" t="str">
        <f aca="false">IF(F119="","",IF(E119="Kraftstoff Privat-Pkw","NICHT BUCHEN — km-Pauschale nutzen",IF(E119="Private Kleidung","NICHT ABZUGSFAEHIG (§ 12 Nr. 1 EStG)",IF(L119="","offen — noch nicht erstattet","erledigt"))))</f>
        <v/>
      </c>
    </row>
    <row r="120" customFormat="false" ht="15" hidden="false" customHeight="false" outlineLevel="0" collapsed="false">
      <c r="A120" s="6"/>
      <c r="B120" s="13"/>
      <c r="C120" s="6"/>
      <c r="D120" s="6"/>
      <c r="E120" s="6"/>
      <c r="F120" s="14"/>
      <c r="G120" s="15" t="n">
        <v>0.19</v>
      </c>
      <c r="H120" s="16" t="str">
        <f aca="false">IF(OR(F120="",G120=""),"",ROUND(F120-F120/(1+G120),2))</f>
        <v/>
      </c>
      <c r="I120" s="16" t="str">
        <f aca="false">IF(F120="","",ROUND(F120-H120,2))</f>
        <v/>
      </c>
      <c r="J120" s="6"/>
      <c r="K120" s="17" t="str">
        <f aca="false">IF(F120="","",IF(F120&lt;=250,"ja — Kleinbetrag",IF(J120="Firma","ja","NEIN — Beleg umschreiben lassen")))</f>
        <v/>
      </c>
      <c r="L120" s="13"/>
      <c r="M120" s="17" t="str">
        <f aca="false">IF(F120="","",IF(E120="Kraftstoff Privat-Pkw","NICHT BUCHEN — km-Pauschale nutzen",IF(E120="Private Kleidung","NICHT ABZUGSFAEHIG (§ 12 Nr. 1 EStG)",IF(L120="","offen — noch nicht erstattet","erledigt"))))</f>
        <v/>
      </c>
    </row>
    <row r="121" customFormat="false" ht="15" hidden="false" customHeight="false" outlineLevel="0" collapsed="false">
      <c r="A121" s="6"/>
      <c r="B121" s="13"/>
      <c r="C121" s="6"/>
      <c r="D121" s="6"/>
      <c r="E121" s="6"/>
      <c r="F121" s="14"/>
      <c r="G121" s="15" t="n">
        <v>0.19</v>
      </c>
      <c r="H121" s="16" t="str">
        <f aca="false">IF(OR(F121="",G121=""),"",ROUND(F121-F121/(1+G121),2))</f>
        <v/>
      </c>
      <c r="I121" s="16" t="str">
        <f aca="false">IF(F121="","",ROUND(F121-H121,2))</f>
        <v/>
      </c>
      <c r="J121" s="6"/>
      <c r="K121" s="17" t="str">
        <f aca="false">IF(F121="","",IF(F121&lt;=250,"ja — Kleinbetrag",IF(J121="Firma","ja","NEIN — Beleg umschreiben lassen")))</f>
        <v/>
      </c>
      <c r="L121" s="13"/>
      <c r="M121" s="17" t="str">
        <f aca="false">IF(F121="","",IF(E121="Kraftstoff Privat-Pkw","NICHT BUCHEN — km-Pauschale nutzen",IF(E121="Private Kleidung","NICHT ABZUGSFAEHIG (§ 12 Nr. 1 EStG)",IF(L121="","offen — noch nicht erstattet","erledigt"))))</f>
        <v/>
      </c>
    </row>
    <row r="122" customFormat="false" ht="15" hidden="false" customHeight="false" outlineLevel="0" collapsed="false">
      <c r="A122" s="6"/>
      <c r="B122" s="13"/>
      <c r="C122" s="6"/>
      <c r="D122" s="6"/>
      <c r="E122" s="6"/>
      <c r="F122" s="14"/>
      <c r="G122" s="15" t="n">
        <v>0.19</v>
      </c>
      <c r="H122" s="16" t="str">
        <f aca="false">IF(OR(F122="",G122=""),"",ROUND(F122-F122/(1+G122),2))</f>
        <v/>
      </c>
      <c r="I122" s="16" t="str">
        <f aca="false">IF(F122="","",ROUND(F122-H122,2))</f>
        <v/>
      </c>
      <c r="J122" s="6"/>
      <c r="K122" s="17" t="str">
        <f aca="false">IF(F122="","",IF(F122&lt;=250,"ja — Kleinbetrag",IF(J122="Firma","ja","NEIN — Beleg umschreiben lassen")))</f>
        <v/>
      </c>
      <c r="L122" s="13"/>
      <c r="M122" s="17" t="str">
        <f aca="false">IF(F122="","",IF(E122="Kraftstoff Privat-Pkw","NICHT BUCHEN — km-Pauschale nutzen",IF(E122="Private Kleidung","NICHT ABZUGSFAEHIG (§ 12 Nr. 1 EStG)",IF(L122="","offen — noch nicht erstattet","erledigt"))))</f>
        <v/>
      </c>
    </row>
    <row r="123" customFormat="false" ht="15" hidden="false" customHeight="false" outlineLevel="0" collapsed="false">
      <c r="A123" s="6"/>
      <c r="B123" s="13"/>
      <c r="C123" s="6"/>
      <c r="D123" s="6"/>
      <c r="E123" s="6"/>
      <c r="F123" s="14"/>
      <c r="G123" s="15" t="n">
        <v>0.19</v>
      </c>
      <c r="H123" s="16" t="str">
        <f aca="false">IF(OR(F123="",G123=""),"",ROUND(F123-F123/(1+G123),2))</f>
        <v/>
      </c>
      <c r="I123" s="16" t="str">
        <f aca="false">IF(F123="","",ROUND(F123-H123,2))</f>
        <v/>
      </c>
      <c r="J123" s="6"/>
      <c r="K123" s="17" t="str">
        <f aca="false">IF(F123="","",IF(F123&lt;=250,"ja — Kleinbetrag",IF(J123="Firma","ja","NEIN — Beleg umschreiben lassen")))</f>
        <v/>
      </c>
      <c r="L123" s="13"/>
      <c r="M123" s="17" t="str">
        <f aca="false">IF(F123="","",IF(E123="Kraftstoff Privat-Pkw","NICHT BUCHEN — km-Pauschale nutzen",IF(E123="Private Kleidung","NICHT ABZUGSFAEHIG (§ 12 Nr. 1 EStG)",IF(L123="","offen — noch nicht erstattet","erledigt"))))</f>
        <v/>
      </c>
    </row>
    <row r="124" customFormat="false" ht="15" hidden="false" customHeight="false" outlineLevel="0" collapsed="false">
      <c r="A124" s="6"/>
      <c r="B124" s="13"/>
      <c r="C124" s="6"/>
      <c r="D124" s="6"/>
      <c r="E124" s="6"/>
      <c r="F124" s="14"/>
      <c r="G124" s="15" t="n">
        <v>0.19</v>
      </c>
      <c r="H124" s="16" t="str">
        <f aca="false">IF(OR(F124="",G124=""),"",ROUND(F124-F124/(1+G124),2))</f>
        <v/>
      </c>
      <c r="I124" s="16" t="str">
        <f aca="false">IF(F124="","",ROUND(F124-H124,2))</f>
        <v/>
      </c>
      <c r="J124" s="6"/>
      <c r="K124" s="17" t="str">
        <f aca="false">IF(F124="","",IF(F124&lt;=250,"ja — Kleinbetrag",IF(J124="Firma","ja","NEIN — Beleg umschreiben lassen")))</f>
        <v/>
      </c>
      <c r="L124" s="13"/>
      <c r="M124" s="17" t="str">
        <f aca="false">IF(F124="","",IF(E124="Kraftstoff Privat-Pkw","NICHT BUCHEN — km-Pauschale nutzen",IF(E124="Private Kleidung","NICHT ABZUGSFAEHIG (§ 12 Nr. 1 EStG)",IF(L124="","offen — noch nicht erstattet","erledigt"))))</f>
        <v/>
      </c>
    </row>
    <row r="125" customFormat="false" ht="15" hidden="false" customHeight="false" outlineLevel="0" collapsed="false">
      <c r="A125" s="6"/>
      <c r="B125" s="13"/>
      <c r="C125" s="6"/>
      <c r="D125" s="6"/>
      <c r="E125" s="6"/>
      <c r="F125" s="14"/>
      <c r="G125" s="15" t="n">
        <v>0.19</v>
      </c>
      <c r="H125" s="16" t="str">
        <f aca="false">IF(OR(F125="",G125=""),"",ROUND(F125-F125/(1+G125),2))</f>
        <v/>
      </c>
      <c r="I125" s="16" t="str">
        <f aca="false">IF(F125="","",ROUND(F125-H125,2))</f>
        <v/>
      </c>
      <c r="J125" s="6"/>
      <c r="K125" s="17" t="str">
        <f aca="false">IF(F125="","",IF(F125&lt;=250,"ja — Kleinbetrag",IF(J125="Firma","ja","NEIN — Beleg umschreiben lassen")))</f>
        <v/>
      </c>
      <c r="L125" s="13"/>
      <c r="M125" s="17" t="str">
        <f aca="false">IF(F125="","",IF(E125="Kraftstoff Privat-Pkw","NICHT BUCHEN — km-Pauschale nutzen",IF(E125="Private Kleidung","NICHT ABZUGSFAEHIG (§ 12 Nr. 1 EStG)",IF(L125="","offen — noch nicht erstattet","erledigt"))))</f>
        <v/>
      </c>
    </row>
    <row r="126" customFormat="false" ht="15" hidden="false" customHeight="false" outlineLevel="0" collapsed="false">
      <c r="A126" s="6"/>
      <c r="B126" s="13"/>
      <c r="C126" s="6"/>
      <c r="D126" s="6"/>
      <c r="E126" s="6"/>
      <c r="F126" s="14"/>
      <c r="G126" s="15" t="n">
        <v>0.19</v>
      </c>
      <c r="H126" s="16" t="str">
        <f aca="false">IF(OR(F126="",G126=""),"",ROUND(F126-F126/(1+G126),2))</f>
        <v/>
      </c>
      <c r="I126" s="16" t="str">
        <f aca="false">IF(F126="","",ROUND(F126-H126,2))</f>
        <v/>
      </c>
      <c r="J126" s="6"/>
      <c r="K126" s="17" t="str">
        <f aca="false">IF(F126="","",IF(F126&lt;=250,"ja — Kleinbetrag",IF(J126="Firma","ja","NEIN — Beleg umschreiben lassen")))</f>
        <v/>
      </c>
      <c r="L126" s="13"/>
      <c r="M126" s="17" t="str">
        <f aca="false">IF(F126="","",IF(E126="Kraftstoff Privat-Pkw","NICHT BUCHEN — km-Pauschale nutzen",IF(E126="Private Kleidung","NICHT ABZUGSFAEHIG (§ 12 Nr. 1 EStG)",IF(L126="","offen — noch nicht erstattet","erledigt"))))</f>
        <v/>
      </c>
    </row>
    <row r="127" customFormat="false" ht="15" hidden="false" customHeight="false" outlineLevel="0" collapsed="false">
      <c r="A127" s="6"/>
      <c r="B127" s="13"/>
      <c r="C127" s="6"/>
      <c r="D127" s="6"/>
      <c r="E127" s="6"/>
      <c r="F127" s="14"/>
      <c r="G127" s="15" t="n">
        <v>0.19</v>
      </c>
      <c r="H127" s="16" t="str">
        <f aca="false">IF(OR(F127="",G127=""),"",ROUND(F127-F127/(1+G127),2))</f>
        <v/>
      </c>
      <c r="I127" s="16" t="str">
        <f aca="false">IF(F127="","",ROUND(F127-H127,2))</f>
        <v/>
      </c>
      <c r="J127" s="6"/>
      <c r="K127" s="17" t="str">
        <f aca="false">IF(F127="","",IF(F127&lt;=250,"ja — Kleinbetrag",IF(J127="Firma","ja","NEIN — Beleg umschreiben lassen")))</f>
        <v/>
      </c>
      <c r="L127" s="13"/>
      <c r="M127" s="17" t="str">
        <f aca="false">IF(F127="","",IF(E127="Kraftstoff Privat-Pkw","NICHT BUCHEN — km-Pauschale nutzen",IF(E127="Private Kleidung","NICHT ABZUGSFAEHIG (§ 12 Nr. 1 EStG)",IF(L127="","offen — noch nicht erstattet","erledigt"))))</f>
        <v/>
      </c>
    </row>
    <row r="128" customFormat="false" ht="15" hidden="false" customHeight="false" outlineLevel="0" collapsed="false">
      <c r="A128" s="6"/>
      <c r="B128" s="13"/>
      <c r="C128" s="6"/>
      <c r="D128" s="6"/>
      <c r="E128" s="6"/>
      <c r="F128" s="14"/>
      <c r="G128" s="15" t="n">
        <v>0.19</v>
      </c>
      <c r="H128" s="16" t="str">
        <f aca="false">IF(OR(F128="",G128=""),"",ROUND(F128-F128/(1+G128),2))</f>
        <v/>
      </c>
      <c r="I128" s="16" t="str">
        <f aca="false">IF(F128="","",ROUND(F128-H128,2))</f>
        <v/>
      </c>
      <c r="J128" s="6"/>
      <c r="K128" s="17" t="str">
        <f aca="false">IF(F128="","",IF(F128&lt;=250,"ja — Kleinbetrag",IF(J128="Firma","ja","NEIN — Beleg umschreiben lassen")))</f>
        <v/>
      </c>
      <c r="L128" s="13"/>
      <c r="M128" s="17" t="str">
        <f aca="false">IF(F128="","",IF(E128="Kraftstoff Privat-Pkw","NICHT BUCHEN — km-Pauschale nutzen",IF(E128="Private Kleidung","NICHT ABZUGSFAEHIG (§ 12 Nr. 1 EStG)",IF(L128="","offen — noch nicht erstattet","erledigt"))))</f>
        <v/>
      </c>
    </row>
    <row r="129" customFormat="false" ht="15" hidden="false" customHeight="false" outlineLevel="0" collapsed="false">
      <c r="A129" s="6"/>
      <c r="B129" s="13"/>
      <c r="C129" s="6"/>
      <c r="D129" s="6"/>
      <c r="E129" s="6"/>
      <c r="F129" s="14"/>
      <c r="G129" s="15" t="n">
        <v>0.19</v>
      </c>
      <c r="H129" s="16" t="str">
        <f aca="false">IF(OR(F129="",G129=""),"",ROUND(F129-F129/(1+G129),2))</f>
        <v/>
      </c>
      <c r="I129" s="16" t="str">
        <f aca="false">IF(F129="","",ROUND(F129-H129,2))</f>
        <v/>
      </c>
      <c r="J129" s="6"/>
      <c r="K129" s="17" t="str">
        <f aca="false">IF(F129="","",IF(F129&lt;=250,"ja — Kleinbetrag",IF(J129="Firma","ja","NEIN — Beleg umschreiben lassen")))</f>
        <v/>
      </c>
      <c r="L129" s="13"/>
      <c r="M129" s="17" t="str">
        <f aca="false">IF(F129="","",IF(E129="Kraftstoff Privat-Pkw","NICHT BUCHEN — km-Pauschale nutzen",IF(E129="Private Kleidung","NICHT ABZUGSFAEHIG (§ 12 Nr. 1 EStG)",IF(L129="","offen — noch nicht erstattet","erledigt"))))</f>
        <v/>
      </c>
    </row>
    <row r="130" customFormat="false" ht="15" hidden="false" customHeight="false" outlineLevel="0" collapsed="false">
      <c r="A130" s="6"/>
      <c r="B130" s="13"/>
      <c r="C130" s="6"/>
      <c r="D130" s="6"/>
      <c r="E130" s="6"/>
      <c r="F130" s="14"/>
      <c r="G130" s="15" t="n">
        <v>0.19</v>
      </c>
      <c r="H130" s="16" t="str">
        <f aca="false">IF(OR(F130="",G130=""),"",ROUND(F130-F130/(1+G130),2))</f>
        <v/>
      </c>
      <c r="I130" s="16" t="str">
        <f aca="false">IF(F130="","",ROUND(F130-H130,2))</f>
        <v/>
      </c>
      <c r="J130" s="6"/>
      <c r="K130" s="17" t="str">
        <f aca="false">IF(F130="","",IF(F130&lt;=250,"ja — Kleinbetrag",IF(J130="Firma","ja","NEIN — Beleg umschreiben lassen")))</f>
        <v/>
      </c>
      <c r="L130" s="13"/>
      <c r="M130" s="17" t="str">
        <f aca="false">IF(F130="","",IF(E130="Kraftstoff Privat-Pkw","NICHT BUCHEN — km-Pauschale nutzen",IF(E130="Private Kleidung","NICHT ABZUGSFAEHIG (§ 12 Nr. 1 EStG)",IF(L130="","offen — noch nicht erstattet","erledigt"))))</f>
        <v/>
      </c>
    </row>
    <row r="131" customFormat="false" ht="15" hidden="false" customHeight="false" outlineLevel="0" collapsed="false">
      <c r="A131" s="6"/>
      <c r="B131" s="13"/>
      <c r="C131" s="6"/>
      <c r="D131" s="6"/>
      <c r="E131" s="6"/>
      <c r="F131" s="14"/>
      <c r="G131" s="15" t="n">
        <v>0.19</v>
      </c>
      <c r="H131" s="16" t="str">
        <f aca="false">IF(OR(F131="",G131=""),"",ROUND(F131-F131/(1+G131),2))</f>
        <v/>
      </c>
      <c r="I131" s="16" t="str">
        <f aca="false">IF(F131="","",ROUND(F131-H131,2))</f>
        <v/>
      </c>
      <c r="J131" s="6"/>
      <c r="K131" s="17" t="str">
        <f aca="false">IF(F131="","",IF(F131&lt;=250,"ja — Kleinbetrag",IF(J131="Firma","ja","NEIN — Beleg umschreiben lassen")))</f>
        <v/>
      </c>
      <c r="L131" s="13"/>
      <c r="M131" s="17" t="str">
        <f aca="false">IF(F131="","",IF(E131="Kraftstoff Privat-Pkw","NICHT BUCHEN — km-Pauschale nutzen",IF(E131="Private Kleidung","NICHT ABZUGSFAEHIG (§ 12 Nr. 1 EStG)",IF(L131="","offen — noch nicht erstattet","erledigt"))))</f>
        <v/>
      </c>
    </row>
    <row r="132" customFormat="false" ht="15" hidden="false" customHeight="false" outlineLevel="0" collapsed="false">
      <c r="A132" s="6"/>
      <c r="B132" s="13"/>
      <c r="C132" s="6"/>
      <c r="D132" s="6"/>
      <c r="E132" s="6"/>
      <c r="F132" s="14"/>
      <c r="G132" s="15" t="n">
        <v>0.19</v>
      </c>
      <c r="H132" s="16" t="str">
        <f aca="false">IF(OR(F132="",G132=""),"",ROUND(F132-F132/(1+G132),2))</f>
        <v/>
      </c>
      <c r="I132" s="16" t="str">
        <f aca="false">IF(F132="","",ROUND(F132-H132,2))</f>
        <v/>
      </c>
      <c r="J132" s="6"/>
      <c r="K132" s="17" t="str">
        <f aca="false">IF(F132="","",IF(F132&lt;=250,"ja — Kleinbetrag",IF(J132="Firma","ja","NEIN — Beleg umschreiben lassen")))</f>
        <v/>
      </c>
      <c r="L132" s="13"/>
      <c r="M132" s="17" t="str">
        <f aca="false">IF(F132="","",IF(E132="Kraftstoff Privat-Pkw","NICHT BUCHEN — km-Pauschale nutzen",IF(E132="Private Kleidung","NICHT ABZUGSFAEHIG (§ 12 Nr. 1 EStG)",IF(L132="","offen — noch nicht erstattet","erledigt"))))</f>
        <v/>
      </c>
    </row>
    <row r="133" customFormat="false" ht="15" hidden="false" customHeight="false" outlineLevel="0" collapsed="false">
      <c r="A133" s="6"/>
      <c r="B133" s="13"/>
      <c r="C133" s="6"/>
      <c r="D133" s="6"/>
      <c r="E133" s="6"/>
      <c r="F133" s="14"/>
      <c r="G133" s="15" t="n">
        <v>0.19</v>
      </c>
      <c r="H133" s="16" t="str">
        <f aca="false">IF(OR(F133="",G133=""),"",ROUND(F133-F133/(1+G133),2))</f>
        <v/>
      </c>
      <c r="I133" s="16" t="str">
        <f aca="false">IF(F133="","",ROUND(F133-H133,2))</f>
        <v/>
      </c>
      <c r="J133" s="6"/>
      <c r="K133" s="17" t="str">
        <f aca="false">IF(F133="","",IF(F133&lt;=250,"ja — Kleinbetrag",IF(J133="Firma","ja","NEIN — Beleg umschreiben lassen")))</f>
        <v/>
      </c>
      <c r="L133" s="13"/>
      <c r="M133" s="17" t="str">
        <f aca="false">IF(F133="","",IF(E133="Kraftstoff Privat-Pkw","NICHT BUCHEN — km-Pauschale nutzen",IF(E133="Private Kleidung","NICHT ABZUGSFAEHIG (§ 12 Nr. 1 EStG)",IF(L133="","offen — noch nicht erstattet","erledigt"))))</f>
        <v/>
      </c>
    </row>
    <row r="134" customFormat="false" ht="15" hidden="false" customHeight="false" outlineLevel="0" collapsed="false">
      <c r="A134" s="6"/>
      <c r="B134" s="13"/>
      <c r="C134" s="6"/>
      <c r="D134" s="6"/>
      <c r="E134" s="6"/>
      <c r="F134" s="14"/>
      <c r="G134" s="15" t="n">
        <v>0.19</v>
      </c>
      <c r="H134" s="16" t="str">
        <f aca="false">IF(OR(F134="",G134=""),"",ROUND(F134-F134/(1+G134),2))</f>
        <v/>
      </c>
      <c r="I134" s="16" t="str">
        <f aca="false">IF(F134="","",ROUND(F134-H134,2))</f>
        <v/>
      </c>
      <c r="J134" s="6"/>
      <c r="K134" s="17" t="str">
        <f aca="false">IF(F134="","",IF(F134&lt;=250,"ja — Kleinbetrag",IF(J134="Firma","ja","NEIN — Beleg umschreiben lassen")))</f>
        <v/>
      </c>
      <c r="L134" s="13"/>
      <c r="M134" s="17" t="str">
        <f aca="false">IF(F134="","",IF(E134="Kraftstoff Privat-Pkw","NICHT BUCHEN — km-Pauschale nutzen",IF(E134="Private Kleidung","NICHT ABZUGSFAEHIG (§ 12 Nr. 1 EStG)",IF(L134="","offen — noch nicht erstattet","erledigt"))))</f>
        <v/>
      </c>
    </row>
    <row r="135" customFormat="false" ht="15" hidden="false" customHeight="false" outlineLevel="0" collapsed="false">
      <c r="A135" s="6"/>
      <c r="B135" s="13"/>
      <c r="C135" s="6"/>
      <c r="D135" s="6"/>
      <c r="E135" s="6"/>
      <c r="F135" s="14"/>
      <c r="G135" s="15" t="n">
        <v>0.19</v>
      </c>
      <c r="H135" s="16" t="str">
        <f aca="false">IF(OR(F135="",G135=""),"",ROUND(F135-F135/(1+G135),2))</f>
        <v/>
      </c>
      <c r="I135" s="16" t="str">
        <f aca="false">IF(F135="","",ROUND(F135-H135,2))</f>
        <v/>
      </c>
      <c r="J135" s="6"/>
      <c r="K135" s="17" t="str">
        <f aca="false">IF(F135="","",IF(F135&lt;=250,"ja — Kleinbetrag",IF(J135="Firma","ja","NEIN — Beleg umschreiben lassen")))</f>
        <v/>
      </c>
      <c r="L135" s="13"/>
      <c r="M135" s="17" t="str">
        <f aca="false">IF(F135="","",IF(E135="Kraftstoff Privat-Pkw","NICHT BUCHEN — km-Pauschale nutzen",IF(E135="Private Kleidung","NICHT ABZUGSFAEHIG (§ 12 Nr. 1 EStG)",IF(L135="","offen — noch nicht erstattet","erledigt"))))</f>
        <v/>
      </c>
    </row>
    <row r="136" customFormat="false" ht="15" hidden="false" customHeight="false" outlineLevel="0" collapsed="false">
      <c r="A136" s="6"/>
      <c r="B136" s="13"/>
      <c r="C136" s="6"/>
      <c r="D136" s="6"/>
      <c r="E136" s="6"/>
      <c r="F136" s="14"/>
      <c r="G136" s="15" t="n">
        <v>0.19</v>
      </c>
      <c r="H136" s="16" t="str">
        <f aca="false">IF(OR(F136="",G136=""),"",ROUND(F136-F136/(1+G136),2))</f>
        <v/>
      </c>
      <c r="I136" s="16" t="str">
        <f aca="false">IF(F136="","",ROUND(F136-H136,2))</f>
        <v/>
      </c>
      <c r="J136" s="6"/>
      <c r="K136" s="17" t="str">
        <f aca="false">IF(F136="","",IF(F136&lt;=250,"ja — Kleinbetrag",IF(J136="Firma","ja","NEIN — Beleg umschreiben lassen")))</f>
        <v/>
      </c>
      <c r="L136" s="13"/>
      <c r="M136" s="17" t="str">
        <f aca="false">IF(F136="","",IF(E136="Kraftstoff Privat-Pkw","NICHT BUCHEN — km-Pauschale nutzen",IF(E136="Private Kleidung","NICHT ABZUGSFAEHIG (§ 12 Nr. 1 EStG)",IF(L136="","offen — noch nicht erstattet","erledigt"))))</f>
        <v/>
      </c>
    </row>
    <row r="137" customFormat="false" ht="15" hidden="false" customHeight="false" outlineLevel="0" collapsed="false">
      <c r="A137" s="6"/>
      <c r="B137" s="13"/>
      <c r="C137" s="6"/>
      <c r="D137" s="6"/>
      <c r="E137" s="6"/>
      <c r="F137" s="14"/>
      <c r="G137" s="15" t="n">
        <v>0.19</v>
      </c>
      <c r="H137" s="16" t="str">
        <f aca="false">IF(OR(F137="",G137=""),"",ROUND(F137-F137/(1+G137),2))</f>
        <v/>
      </c>
      <c r="I137" s="16" t="str">
        <f aca="false">IF(F137="","",ROUND(F137-H137,2))</f>
        <v/>
      </c>
      <c r="J137" s="6"/>
      <c r="K137" s="17" t="str">
        <f aca="false">IF(F137="","",IF(F137&lt;=250,"ja — Kleinbetrag",IF(J137="Firma","ja","NEIN — Beleg umschreiben lassen")))</f>
        <v/>
      </c>
      <c r="L137" s="13"/>
      <c r="M137" s="17" t="str">
        <f aca="false">IF(F137="","",IF(E137="Kraftstoff Privat-Pkw","NICHT BUCHEN — km-Pauschale nutzen",IF(E137="Private Kleidung","NICHT ABZUGSFAEHIG (§ 12 Nr. 1 EStG)",IF(L137="","offen — noch nicht erstattet","erledigt"))))</f>
        <v/>
      </c>
    </row>
    <row r="138" customFormat="false" ht="15" hidden="false" customHeight="false" outlineLevel="0" collapsed="false">
      <c r="A138" s="6"/>
      <c r="B138" s="13"/>
      <c r="C138" s="6"/>
      <c r="D138" s="6"/>
      <c r="E138" s="6"/>
      <c r="F138" s="14"/>
      <c r="G138" s="15" t="n">
        <v>0.19</v>
      </c>
      <c r="H138" s="16" t="str">
        <f aca="false">IF(OR(F138="",G138=""),"",ROUND(F138-F138/(1+G138),2))</f>
        <v/>
      </c>
      <c r="I138" s="16" t="str">
        <f aca="false">IF(F138="","",ROUND(F138-H138,2))</f>
        <v/>
      </c>
      <c r="J138" s="6"/>
      <c r="K138" s="17" t="str">
        <f aca="false">IF(F138="","",IF(F138&lt;=250,"ja — Kleinbetrag",IF(J138="Firma","ja","NEIN — Beleg umschreiben lassen")))</f>
        <v/>
      </c>
      <c r="L138" s="13"/>
      <c r="M138" s="17" t="str">
        <f aca="false">IF(F138="","",IF(E138="Kraftstoff Privat-Pkw","NICHT BUCHEN — km-Pauschale nutzen",IF(E138="Private Kleidung","NICHT ABZUGSFAEHIG (§ 12 Nr. 1 EStG)",IF(L138="","offen — noch nicht erstattet","erledigt"))))</f>
        <v/>
      </c>
    </row>
    <row r="139" customFormat="false" ht="15" hidden="false" customHeight="false" outlineLevel="0" collapsed="false">
      <c r="A139" s="6"/>
      <c r="B139" s="13"/>
      <c r="C139" s="6"/>
      <c r="D139" s="6"/>
      <c r="E139" s="6"/>
      <c r="F139" s="14"/>
      <c r="G139" s="15" t="n">
        <v>0.19</v>
      </c>
      <c r="H139" s="16" t="str">
        <f aca="false">IF(OR(F139="",G139=""),"",ROUND(F139-F139/(1+G139),2))</f>
        <v/>
      </c>
      <c r="I139" s="16" t="str">
        <f aca="false">IF(F139="","",ROUND(F139-H139,2))</f>
        <v/>
      </c>
      <c r="J139" s="6"/>
      <c r="K139" s="17" t="str">
        <f aca="false">IF(F139="","",IF(F139&lt;=250,"ja — Kleinbetrag",IF(J139="Firma","ja","NEIN — Beleg umschreiben lassen")))</f>
        <v/>
      </c>
      <c r="L139" s="13"/>
      <c r="M139" s="17" t="str">
        <f aca="false">IF(F139="","",IF(E139="Kraftstoff Privat-Pkw","NICHT BUCHEN — km-Pauschale nutzen",IF(E139="Private Kleidung","NICHT ABZUGSFAEHIG (§ 12 Nr. 1 EStG)",IF(L139="","offen — noch nicht erstattet","erledigt"))))</f>
        <v/>
      </c>
    </row>
    <row r="140" customFormat="false" ht="15" hidden="false" customHeight="false" outlineLevel="0" collapsed="false">
      <c r="A140" s="6"/>
      <c r="B140" s="13"/>
      <c r="C140" s="6"/>
      <c r="D140" s="6"/>
      <c r="E140" s="6"/>
      <c r="F140" s="14"/>
      <c r="G140" s="15" t="n">
        <v>0.19</v>
      </c>
      <c r="H140" s="16" t="str">
        <f aca="false">IF(OR(F140="",G140=""),"",ROUND(F140-F140/(1+G140),2))</f>
        <v/>
      </c>
      <c r="I140" s="16" t="str">
        <f aca="false">IF(F140="","",ROUND(F140-H140,2))</f>
        <v/>
      </c>
      <c r="J140" s="6"/>
      <c r="K140" s="17" t="str">
        <f aca="false">IF(F140="","",IF(F140&lt;=250,"ja — Kleinbetrag",IF(J140="Firma","ja","NEIN — Beleg umschreiben lassen")))</f>
        <v/>
      </c>
      <c r="L140" s="13"/>
      <c r="M140" s="17" t="str">
        <f aca="false">IF(F140="","",IF(E140="Kraftstoff Privat-Pkw","NICHT BUCHEN — km-Pauschale nutzen",IF(E140="Private Kleidung","NICHT ABZUGSFAEHIG (§ 12 Nr. 1 EStG)",IF(L140="","offen — noch nicht erstattet","erledigt"))))</f>
        <v/>
      </c>
    </row>
    <row r="141" customFormat="false" ht="15" hidden="false" customHeight="false" outlineLevel="0" collapsed="false">
      <c r="A141" s="6"/>
      <c r="B141" s="13"/>
      <c r="C141" s="6"/>
      <c r="D141" s="6"/>
      <c r="E141" s="6"/>
      <c r="F141" s="14"/>
      <c r="G141" s="15" t="n">
        <v>0.19</v>
      </c>
      <c r="H141" s="16" t="str">
        <f aca="false">IF(OR(F141="",G141=""),"",ROUND(F141-F141/(1+G141),2))</f>
        <v/>
      </c>
      <c r="I141" s="16" t="str">
        <f aca="false">IF(F141="","",ROUND(F141-H141,2))</f>
        <v/>
      </c>
      <c r="J141" s="6"/>
      <c r="K141" s="17" t="str">
        <f aca="false">IF(F141="","",IF(F141&lt;=250,"ja — Kleinbetrag",IF(J141="Firma","ja","NEIN — Beleg umschreiben lassen")))</f>
        <v/>
      </c>
      <c r="L141" s="13"/>
      <c r="M141" s="17" t="str">
        <f aca="false">IF(F141="","",IF(E141="Kraftstoff Privat-Pkw","NICHT BUCHEN — km-Pauschale nutzen",IF(E141="Private Kleidung","NICHT ABZUGSFAEHIG (§ 12 Nr. 1 EStG)",IF(L141="","offen — noch nicht erstattet","erledigt"))))</f>
        <v/>
      </c>
    </row>
    <row r="142" customFormat="false" ht="15" hidden="false" customHeight="false" outlineLevel="0" collapsed="false">
      <c r="A142" s="6"/>
      <c r="B142" s="13"/>
      <c r="C142" s="6"/>
      <c r="D142" s="6"/>
      <c r="E142" s="6"/>
      <c r="F142" s="14"/>
      <c r="G142" s="15" t="n">
        <v>0.19</v>
      </c>
      <c r="H142" s="16" t="str">
        <f aca="false">IF(OR(F142="",G142=""),"",ROUND(F142-F142/(1+G142),2))</f>
        <v/>
      </c>
      <c r="I142" s="16" t="str">
        <f aca="false">IF(F142="","",ROUND(F142-H142,2))</f>
        <v/>
      </c>
      <c r="J142" s="6"/>
      <c r="K142" s="17" t="str">
        <f aca="false">IF(F142="","",IF(F142&lt;=250,"ja — Kleinbetrag",IF(J142="Firma","ja","NEIN — Beleg umschreiben lassen")))</f>
        <v/>
      </c>
      <c r="L142" s="13"/>
      <c r="M142" s="17" t="str">
        <f aca="false">IF(F142="","",IF(E142="Kraftstoff Privat-Pkw","NICHT BUCHEN — km-Pauschale nutzen",IF(E142="Private Kleidung","NICHT ABZUGSFAEHIG (§ 12 Nr. 1 EStG)",IF(L142="","offen — noch nicht erstattet","erledigt"))))</f>
        <v/>
      </c>
    </row>
    <row r="143" customFormat="false" ht="15" hidden="false" customHeight="false" outlineLevel="0" collapsed="false">
      <c r="A143" s="6"/>
      <c r="B143" s="13"/>
      <c r="C143" s="6"/>
      <c r="D143" s="6"/>
      <c r="E143" s="6"/>
      <c r="F143" s="14"/>
      <c r="G143" s="15" t="n">
        <v>0.19</v>
      </c>
      <c r="H143" s="16" t="str">
        <f aca="false">IF(OR(F143="",G143=""),"",ROUND(F143-F143/(1+G143),2))</f>
        <v/>
      </c>
      <c r="I143" s="16" t="str">
        <f aca="false">IF(F143="","",ROUND(F143-H143,2))</f>
        <v/>
      </c>
      <c r="J143" s="6"/>
      <c r="K143" s="17" t="str">
        <f aca="false">IF(F143="","",IF(F143&lt;=250,"ja — Kleinbetrag",IF(J143="Firma","ja","NEIN — Beleg umschreiben lassen")))</f>
        <v/>
      </c>
      <c r="L143" s="13"/>
      <c r="M143" s="17" t="str">
        <f aca="false">IF(F143="","",IF(E143="Kraftstoff Privat-Pkw","NICHT BUCHEN — km-Pauschale nutzen",IF(E143="Private Kleidung","NICHT ABZUGSFAEHIG (§ 12 Nr. 1 EStG)",IF(L143="","offen — noch nicht erstattet","erledigt"))))</f>
        <v/>
      </c>
    </row>
    <row r="144" customFormat="false" ht="15" hidden="false" customHeight="false" outlineLevel="0" collapsed="false">
      <c r="A144" s="6"/>
      <c r="B144" s="13"/>
      <c r="C144" s="6"/>
      <c r="D144" s="6"/>
      <c r="E144" s="6"/>
      <c r="F144" s="14"/>
      <c r="G144" s="15" t="n">
        <v>0.19</v>
      </c>
      <c r="H144" s="16" t="str">
        <f aca="false">IF(OR(F144="",G144=""),"",ROUND(F144-F144/(1+G144),2))</f>
        <v/>
      </c>
      <c r="I144" s="16" t="str">
        <f aca="false">IF(F144="","",ROUND(F144-H144,2))</f>
        <v/>
      </c>
      <c r="J144" s="6"/>
      <c r="K144" s="17" t="str">
        <f aca="false">IF(F144="","",IF(F144&lt;=250,"ja — Kleinbetrag",IF(J144="Firma","ja","NEIN — Beleg umschreiben lassen")))</f>
        <v/>
      </c>
      <c r="L144" s="13"/>
      <c r="M144" s="17" t="str">
        <f aca="false">IF(F144="","",IF(E144="Kraftstoff Privat-Pkw","NICHT BUCHEN — km-Pauschale nutzen",IF(E144="Private Kleidung","NICHT ABZUGSFAEHIG (§ 12 Nr. 1 EStG)",IF(L144="","offen — noch nicht erstattet","erledigt"))))</f>
        <v/>
      </c>
    </row>
    <row r="145" customFormat="false" ht="15" hidden="false" customHeight="false" outlineLevel="0" collapsed="false">
      <c r="A145" s="6"/>
      <c r="B145" s="13"/>
      <c r="C145" s="6"/>
      <c r="D145" s="6"/>
      <c r="E145" s="6"/>
      <c r="F145" s="14"/>
      <c r="G145" s="15" t="n">
        <v>0.19</v>
      </c>
      <c r="H145" s="16" t="str">
        <f aca="false">IF(OR(F145="",G145=""),"",ROUND(F145-F145/(1+G145),2))</f>
        <v/>
      </c>
      <c r="I145" s="16" t="str">
        <f aca="false">IF(F145="","",ROUND(F145-H145,2))</f>
        <v/>
      </c>
      <c r="J145" s="6"/>
      <c r="K145" s="17" t="str">
        <f aca="false">IF(F145="","",IF(F145&lt;=250,"ja — Kleinbetrag",IF(J145="Firma","ja","NEIN — Beleg umschreiben lassen")))</f>
        <v/>
      </c>
      <c r="L145" s="13"/>
      <c r="M145" s="17" t="str">
        <f aca="false">IF(F145="","",IF(E145="Kraftstoff Privat-Pkw","NICHT BUCHEN — km-Pauschale nutzen",IF(E145="Private Kleidung","NICHT ABZUGSFAEHIG (§ 12 Nr. 1 EStG)",IF(L145="","offen — noch nicht erstattet","erledigt"))))</f>
        <v/>
      </c>
    </row>
    <row r="146" customFormat="false" ht="15" hidden="false" customHeight="false" outlineLevel="0" collapsed="false">
      <c r="A146" s="6"/>
      <c r="B146" s="13"/>
      <c r="C146" s="6"/>
      <c r="D146" s="6"/>
      <c r="E146" s="6"/>
      <c r="F146" s="14"/>
      <c r="G146" s="15" t="n">
        <v>0.19</v>
      </c>
      <c r="H146" s="16" t="str">
        <f aca="false">IF(OR(F146="",G146=""),"",ROUND(F146-F146/(1+G146),2))</f>
        <v/>
      </c>
      <c r="I146" s="16" t="str">
        <f aca="false">IF(F146="","",ROUND(F146-H146,2))</f>
        <v/>
      </c>
      <c r="J146" s="6"/>
      <c r="K146" s="17" t="str">
        <f aca="false">IF(F146="","",IF(F146&lt;=250,"ja — Kleinbetrag",IF(J146="Firma","ja","NEIN — Beleg umschreiben lassen")))</f>
        <v/>
      </c>
      <c r="L146" s="13"/>
      <c r="M146" s="17" t="str">
        <f aca="false">IF(F146="","",IF(E146="Kraftstoff Privat-Pkw","NICHT BUCHEN — km-Pauschale nutzen",IF(E146="Private Kleidung","NICHT ABZUGSFAEHIG (§ 12 Nr. 1 EStG)",IF(L146="","offen — noch nicht erstattet","erledigt"))))</f>
        <v/>
      </c>
    </row>
    <row r="147" customFormat="false" ht="15" hidden="false" customHeight="false" outlineLevel="0" collapsed="false">
      <c r="A147" s="6"/>
      <c r="B147" s="13"/>
      <c r="C147" s="6"/>
      <c r="D147" s="6"/>
      <c r="E147" s="6"/>
      <c r="F147" s="14"/>
      <c r="G147" s="15" t="n">
        <v>0.19</v>
      </c>
      <c r="H147" s="16" t="str">
        <f aca="false">IF(OR(F147="",G147=""),"",ROUND(F147-F147/(1+G147),2))</f>
        <v/>
      </c>
      <c r="I147" s="16" t="str">
        <f aca="false">IF(F147="","",ROUND(F147-H147,2))</f>
        <v/>
      </c>
      <c r="J147" s="6"/>
      <c r="K147" s="17" t="str">
        <f aca="false">IF(F147="","",IF(F147&lt;=250,"ja — Kleinbetrag",IF(J147="Firma","ja","NEIN — Beleg umschreiben lassen")))</f>
        <v/>
      </c>
      <c r="L147" s="13"/>
      <c r="M147" s="17" t="str">
        <f aca="false">IF(F147="","",IF(E147="Kraftstoff Privat-Pkw","NICHT BUCHEN — km-Pauschale nutzen",IF(E147="Private Kleidung","NICHT ABZUGSFAEHIG (§ 12 Nr. 1 EStG)",IF(L147="","offen — noch nicht erstattet","erledigt"))))</f>
        <v/>
      </c>
    </row>
    <row r="148" customFormat="false" ht="15" hidden="false" customHeight="false" outlineLevel="0" collapsed="false">
      <c r="A148" s="6"/>
      <c r="B148" s="13"/>
      <c r="C148" s="6"/>
      <c r="D148" s="6"/>
      <c r="E148" s="6"/>
      <c r="F148" s="14"/>
      <c r="G148" s="15" t="n">
        <v>0.19</v>
      </c>
      <c r="H148" s="16" t="str">
        <f aca="false">IF(OR(F148="",G148=""),"",ROUND(F148-F148/(1+G148),2))</f>
        <v/>
      </c>
      <c r="I148" s="16" t="str">
        <f aca="false">IF(F148="","",ROUND(F148-H148,2))</f>
        <v/>
      </c>
      <c r="J148" s="6"/>
      <c r="K148" s="17" t="str">
        <f aca="false">IF(F148="","",IF(F148&lt;=250,"ja — Kleinbetrag",IF(J148="Firma","ja","NEIN — Beleg umschreiben lassen")))</f>
        <v/>
      </c>
      <c r="L148" s="13"/>
      <c r="M148" s="17" t="str">
        <f aca="false">IF(F148="","",IF(E148="Kraftstoff Privat-Pkw","NICHT BUCHEN — km-Pauschale nutzen",IF(E148="Private Kleidung","NICHT ABZUGSFAEHIG (§ 12 Nr. 1 EStG)",IF(L148="","offen — noch nicht erstattet","erledigt"))))</f>
        <v/>
      </c>
    </row>
    <row r="149" customFormat="false" ht="15" hidden="false" customHeight="false" outlineLevel="0" collapsed="false">
      <c r="A149" s="6"/>
      <c r="B149" s="13"/>
      <c r="C149" s="6"/>
      <c r="D149" s="6"/>
      <c r="E149" s="6"/>
      <c r="F149" s="14"/>
      <c r="G149" s="15" t="n">
        <v>0.19</v>
      </c>
      <c r="H149" s="16" t="str">
        <f aca="false">IF(OR(F149="",G149=""),"",ROUND(F149-F149/(1+G149),2))</f>
        <v/>
      </c>
      <c r="I149" s="16" t="str">
        <f aca="false">IF(F149="","",ROUND(F149-H149,2))</f>
        <v/>
      </c>
      <c r="J149" s="6"/>
      <c r="K149" s="17" t="str">
        <f aca="false">IF(F149="","",IF(F149&lt;=250,"ja — Kleinbetrag",IF(J149="Firma","ja","NEIN — Beleg umschreiben lassen")))</f>
        <v/>
      </c>
      <c r="L149" s="13"/>
      <c r="M149" s="17" t="str">
        <f aca="false">IF(F149="","",IF(E149="Kraftstoff Privat-Pkw","NICHT BUCHEN — km-Pauschale nutzen",IF(E149="Private Kleidung","NICHT ABZUGSFAEHIG (§ 12 Nr. 1 EStG)",IF(L149="","offen — noch nicht erstattet","erledigt"))))</f>
        <v/>
      </c>
    </row>
    <row r="150" customFormat="false" ht="15" hidden="false" customHeight="false" outlineLevel="0" collapsed="false">
      <c r="A150" s="6"/>
      <c r="B150" s="13"/>
      <c r="C150" s="6"/>
      <c r="D150" s="6"/>
      <c r="E150" s="6"/>
      <c r="F150" s="14"/>
      <c r="G150" s="15" t="n">
        <v>0.19</v>
      </c>
      <c r="H150" s="16" t="str">
        <f aca="false">IF(OR(F150="",G150=""),"",ROUND(F150-F150/(1+G150),2))</f>
        <v/>
      </c>
      <c r="I150" s="16" t="str">
        <f aca="false">IF(F150="","",ROUND(F150-H150,2))</f>
        <v/>
      </c>
      <c r="J150" s="6"/>
      <c r="K150" s="17" t="str">
        <f aca="false">IF(F150="","",IF(F150&lt;=250,"ja — Kleinbetrag",IF(J150="Firma","ja","NEIN — Beleg umschreiben lassen")))</f>
        <v/>
      </c>
      <c r="L150" s="13"/>
      <c r="M150" s="17" t="str">
        <f aca="false">IF(F150="","",IF(E150="Kraftstoff Privat-Pkw","NICHT BUCHEN — km-Pauschale nutzen",IF(E150="Private Kleidung","NICHT ABZUGSFAEHIG (§ 12 Nr. 1 EStG)",IF(L150="","offen — noch nicht erstattet","erledigt"))))</f>
        <v/>
      </c>
    </row>
    <row r="151" customFormat="false" ht="15" hidden="false" customHeight="false" outlineLevel="0" collapsed="false">
      <c r="A151" s="6"/>
      <c r="B151" s="13"/>
      <c r="C151" s="6"/>
      <c r="D151" s="6"/>
      <c r="E151" s="6"/>
      <c r="F151" s="14"/>
      <c r="G151" s="15" t="n">
        <v>0.19</v>
      </c>
      <c r="H151" s="16" t="str">
        <f aca="false">IF(OR(F151="",G151=""),"",ROUND(F151-F151/(1+G151),2))</f>
        <v/>
      </c>
      <c r="I151" s="16" t="str">
        <f aca="false">IF(F151="","",ROUND(F151-H151,2))</f>
        <v/>
      </c>
      <c r="J151" s="6"/>
      <c r="K151" s="17" t="str">
        <f aca="false">IF(F151="","",IF(F151&lt;=250,"ja — Kleinbetrag",IF(J151="Firma","ja","NEIN — Beleg umschreiben lassen")))</f>
        <v/>
      </c>
      <c r="L151" s="13"/>
      <c r="M151" s="17" t="str">
        <f aca="false">IF(F151="","",IF(E151="Kraftstoff Privat-Pkw","NICHT BUCHEN — km-Pauschale nutzen",IF(E151="Private Kleidung","NICHT ABZUGSFAEHIG (§ 12 Nr. 1 EStG)",IF(L151="","offen — noch nicht erstattet","erledigt"))))</f>
        <v/>
      </c>
    </row>
    <row r="152" customFormat="false" ht="15" hidden="false" customHeight="false" outlineLevel="0" collapsed="false">
      <c r="A152" s="6"/>
      <c r="B152" s="13"/>
      <c r="C152" s="6"/>
      <c r="D152" s="6"/>
      <c r="E152" s="6"/>
      <c r="F152" s="14"/>
      <c r="G152" s="15" t="n">
        <v>0.19</v>
      </c>
      <c r="H152" s="16" t="str">
        <f aca="false">IF(OR(F152="",G152=""),"",ROUND(F152-F152/(1+G152),2))</f>
        <v/>
      </c>
      <c r="I152" s="16" t="str">
        <f aca="false">IF(F152="","",ROUND(F152-H152,2))</f>
        <v/>
      </c>
      <c r="J152" s="6"/>
      <c r="K152" s="17" t="str">
        <f aca="false">IF(F152="","",IF(F152&lt;=250,"ja — Kleinbetrag",IF(J152="Firma","ja","NEIN — Beleg umschreiben lassen")))</f>
        <v/>
      </c>
      <c r="L152" s="13"/>
      <c r="M152" s="17" t="str">
        <f aca="false">IF(F152="","",IF(E152="Kraftstoff Privat-Pkw","NICHT BUCHEN — km-Pauschale nutzen",IF(E152="Private Kleidung","NICHT ABZUGSFAEHIG (§ 12 Nr. 1 EStG)",IF(L152="","offen — noch nicht erstattet","erledigt"))))</f>
        <v/>
      </c>
    </row>
    <row r="153" customFormat="false" ht="15" hidden="false" customHeight="false" outlineLevel="0" collapsed="false">
      <c r="A153" s="6"/>
      <c r="B153" s="13"/>
      <c r="C153" s="6"/>
      <c r="D153" s="6"/>
      <c r="E153" s="6"/>
      <c r="F153" s="14"/>
      <c r="G153" s="15" t="n">
        <v>0.19</v>
      </c>
      <c r="H153" s="16" t="str">
        <f aca="false">IF(OR(F153="",G153=""),"",ROUND(F153-F153/(1+G153),2))</f>
        <v/>
      </c>
      <c r="I153" s="16" t="str">
        <f aca="false">IF(F153="","",ROUND(F153-H153,2))</f>
        <v/>
      </c>
      <c r="J153" s="6"/>
      <c r="K153" s="17" t="str">
        <f aca="false">IF(F153="","",IF(F153&lt;=250,"ja — Kleinbetrag",IF(J153="Firma","ja","NEIN — Beleg umschreiben lassen")))</f>
        <v/>
      </c>
      <c r="L153" s="13"/>
      <c r="M153" s="17" t="str">
        <f aca="false">IF(F153="","",IF(E153="Kraftstoff Privat-Pkw","NICHT BUCHEN — km-Pauschale nutzen",IF(E153="Private Kleidung","NICHT ABZUGSFAEHIG (§ 12 Nr. 1 EStG)",IF(L153="","offen — noch nicht erstattet","erledigt"))))</f>
        <v/>
      </c>
    </row>
    <row r="154" customFormat="false" ht="15" hidden="false" customHeight="false" outlineLevel="0" collapsed="false">
      <c r="A154" s="6"/>
      <c r="B154" s="13"/>
      <c r="C154" s="6"/>
      <c r="D154" s="6"/>
      <c r="E154" s="6"/>
      <c r="F154" s="14"/>
      <c r="G154" s="15" t="n">
        <v>0.19</v>
      </c>
      <c r="H154" s="16" t="str">
        <f aca="false">IF(OR(F154="",G154=""),"",ROUND(F154-F154/(1+G154),2))</f>
        <v/>
      </c>
      <c r="I154" s="16" t="str">
        <f aca="false">IF(F154="","",ROUND(F154-H154,2))</f>
        <v/>
      </c>
      <c r="J154" s="6"/>
      <c r="K154" s="17" t="str">
        <f aca="false">IF(F154="","",IF(F154&lt;=250,"ja — Kleinbetrag",IF(J154="Firma","ja","NEIN — Beleg umschreiben lassen")))</f>
        <v/>
      </c>
      <c r="L154" s="13"/>
      <c r="M154" s="17" t="str">
        <f aca="false">IF(F154="","",IF(E154="Kraftstoff Privat-Pkw","NICHT BUCHEN — km-Pauschale nutzen",IF(E154="Private Kleidung","NICHT ABZUGSFAEHIG (§ 12 Nr. 1 EStG)",IF(L154="","offen — noch nicht erstattet","erledigt"))))</f>
        <v/>
      </c>
    </row>
    <row r="155" customFormat="false" ht="15" hidden="false" customHeight="false" outlineLevel="0" collapsed="false">
      <c r="A155" s="6"/>
      <c r="B155" s="13"/>
      <c r="C155" s="6"/>
      <c r="D155" s="6"/>
      <c r="E155" s="6"/>
      <c r="F155" s="14"/>
      <c r="G155" s="15" t="n">
        <v>0.19</v>
      </c>
      <c r="H155" s="16" t="str">
        <f aca="false">IF(OR(F155="",G155=""),"",ROUND(F155-F155/(1+G155),2))</f>
        <v/>
      </c>
      <c r="I155" s="16" t="str">
        <f aca="false">IF(F155="","",ROUND(F155-H155,2))</f>
        <v/>
      </c>
      <c r="J155" s="6"/>
      <c r="K155" s="17" t="str">
        <f aca="false">IF(F155="","",IF(F155&lt;=250,"ja — Kleinbetrag",IF(J155="Firma","ja","NEIN — Beleg umschreiben lassen")))</f>
        <v/>
      </c>
      <c r="L155" s="13"/>
      <c r="M155" s="17" t="str">
        <f aca="false">IF(F155="","",IF(E155="Kraftstoff Privat-Pkw","NICHT BUCHEN — km-Pauschale nutzen",IF(E155="Private Kleidung","NICHT ABZUGSFAEHIG (§ 12 Nr. 1 EStG)",IF(L155="","offen — noch nicht erstattet","erledigt"))))</f>
        <v/>
      </c>
    </row>
    <row r="156" customFormat="false" ht="15" hidden="false" customHeight="false" outlineLevel="0" collapsed="false">
      <c r="A156" s="6"/>
      <c r="B156" s="13"/>
      <c r="C156" s="6"/>
      <c r="D156" s="6"/>
      <c r="E156" s="6"/>
      <c r="F156" s="14"/>
      <c r="G156" s="15" t="n">
        <v>0.19</v>
      </c>
      <c r="H156" s="16" t="str">
        <f aca="false">IF(OR(F156="",G156=""),"",ROUND(F156-F156/(1+G156),2))</f>
        <v/>
      </c>
      <c r="I156" s="16" t="str">
        <f aca="false">IF(F156="","",ROUND(F156-H156,2))</f>
        <v/>
      </c>
      <c r="J156" s="6"/>
      <c r="K156" s="17" t="str">
        <f aca="false">IF(F156="","",IF(F156&lt;=250,"ja — Kleinbetrag",IF(J156="Firma","ja","NEIN — Beleg umschreiben lassen")))</f>
        <v/>
      </c>
      <c r="L156" s="13"/>
      <c r="M156" s="17" t="str">
        <f aca="false">IF(F156="","",IF(E156="Kraftstoff Privat-Pkw","NICHT BUCHEN — km-Pauschale nutzen",IF(E156="Private Kleidung","NICHT ABZUGSFAEHIG (§ 12 Nr. 1 EStG)",IF(L156="","offen — noch nicht erstattet","erledigt"))))</f>
        <v/>
      </c>
    </row>
    <row r="157" customFormat="false" ht="15" hidden="false" customHeight="false" outlineLevel="0" collapsed="false">
      <c r="A157" s="6"/>
      <c r="B157" s="13"/>
      <c r="C157" s="6"/>
      <c r="D157" s="6"/>
      <c r="E157" s="6"/>
      <c r="F157" s="14"/>
      <c r="G157" s="15" t="n">
        <v>0.19</v>
      </c>
      <c r="H157" s="16" t="str">
        <f aca="false">IF(OR(F157="",G157=""),"",ROUND(F157-F157/(1+G157),2))</f>
        <v/>
      </c>
      <c r="I157" s="16" t="str">
        <f aca="false">IF(F157="","",ROUND(F157-H157,2))</f>
        <v/>
      </c>
      <c r="J157" s="6"/>
      <c r="K157" s="17" t="str">
        <f aca="false">IF(F157="","",IF(F157&lt;=250,"ja — Kleinbetrag",IF(J157="Firma","ja","NEIN — Beleg umschreiben lassen")))</f>
        <v/>
      </c>
      <c r="L157" s="13"/>
      <c r="M157" s="17" t="str">
        <f aca="false">IF(F157="","",IF(E157="Kraftstoff Privat-Pkw","NICHT BUCHEN — km-Pauschale nutzen",IF(E157="Private Kleidung","NICHT ABZUGSFAEHIG (§ 12 Nr. 1 EStG)",IF(L157="","offen — noch nicht erstattet","erledigt"))))</f>
        <v/>
      </c>
    </row>
    <row r="158" customFormat="false" ht="15" hidden="false" customHeight="false" outlineLevel="0" collapsed="false">
      <c r="A158" s="6"/>
      <c r="B158" s="13"/>
      <c r="C158" s="6"/>
      <c r="D158" s="6"/>
      <c r="E158" s="6"/>
      <c r="F158" s="14"/>
      <c r="G158" s="15" t="n">
        <v>0.19</v>
      </c>
      <c r="H158" s="16" t="str">
        <f aca="false">IF(OR(F158="",G158=""),"",ROUND(F158-F158/(1+G158),2))</f>
        <v/>
      </c>
      <c r="I158" s="16" t="str">
        <f aca="false">IF(F158="","",ROUND(F158-H158,2))</f>
        <v/>
      </c>
      <c r="J158" s="6"/>
      <c r="K158" s="17" t="str">
        <f aca="false">IF(F158="","",IF(F158&lt;=250,"ja — Kleinbetrag",IF(J158="Firma","ja","NEIN — Beleg umschreiben lassen")))</f>
        <v/>
      </c>
      <c r="L158" s="13"/>
      <c r="M158" s="17" t="str">
        <f aca="false">IF(F158="","",IF(E158="Kraftstoff Privat-Pkw","NICHT BUCHEN — km-Pauschale nutzen",IF(E158="Private Kleidung","NICHT ABZUGSFAEHIG (§ 12 Nr. 1 EStG)",IF(L158="","offen — noch nicht erstattet","erledigt"))))</f>
        <v/>
      </c>
    </row>
    <row r="159" customFormat="false" ht="15" hidden="false" customHeight="false" outlineLevel="0" collapsed="false">
      <c r="A159" s="6"/>
      <c r="B159" s="13"/>
      <c r="C159" s="6"/>
      <c r="D159" s="6"/>
      <c r="E159" s="6"/>
      <c r="F159" s="14"/>
      <c r="G159" s="15" t="n">
        <v>0.19</v>
      </c>
      <c r="H159" s="16" t="str">
        <f aca="false">IF(OR(F159="",G159=""),"",ROUND(F159-F159/(1+G159),2))</f>
        <v/>
      </c>
      <c r="I159" s="16" t="str">
        <f aca="false">IF(F159="","",ROUND(F159-H159,2))</f>
        <v/>
      </c>
      <c r="J159" s="6"/>
      <c r="K159" s="17" t="str">
        <f aca="false">IF(F159="","",IF(F159&lt;=250,"ja — Kleinbetrag",IF(J159="Firma","ja","NEIN — Beleg umschreiben lassen")))</f>
        <v/>
      </c>
      <c r="L159" s="13"/>
      <c r="M159" s="17" t="str">
        <f aca="false">IF(F159="","",IF(E159="Kraftstoff Privat-Pkw","NICHT BUCHEN — km-Pauschale nutzen",IF(E159="Private Kleidung","NICHT ABZUGSFAEHIG (§ 12 Nr. 1 EStG)",IF(L159="","offen — noch nicht erstattet","erledigt"))))</f>
        <v/>
      </c>
    </row>
    <row r="160" customFormat="false" ht="15" hidden="false" customHeight="false" outlineLevel="0" collapsed="false">
      <c r="A160" s="6"/>
      <c r="B160" s="13"/>
      <c r="C160" s="6"/>
      <c r="D160" s="6"/>
      <c r="E160" s="6"/>
      <c r="F160" s="14"/>
      <c r="G160" s="15" t="n">
        <v>0.19</v>
      </c>
      <c r="H160" s="16" t="str">
        <f aca="false">IF(OR(F160="",G160=""),"",ROUND(F160-F160/(1+G160),2))</f>
        <v/>
      </c>
      <c r="I160" s="16" t="str">
        <f aca="false">IF(F160="","",ROUND(F160-H160,2))</f>
        <v/>
      </c>
      <c r="J160" s="6"/>
      <c r="K160" s="17" t="str">
        <f aca="false">IF(F160="","",IF(F160&lt;=250,"ja — Kleinbetrag",IF(J160="Firma","ja","NEIN — Beleg umschreiben lassen")))</f>
        <v/>
      </c>
      <c r="L160" s="13"/>
      <c r="M160" s="17" t="str">
        <f aca="false">IF(F160="","",IF(E160="Kraftstoff Privat-Pkw","NICHT BUCHEN — km-Pauschale nutzen",IF(E160="Private Kleidung","NICHT ABZUGSFAEHIG (§ 12 Nr. 1 EStG)",IF(L160="","offen — noch nicht erstattet","erledigt"))))</f>
        <v/>
      </c>
    </row>
    <row r="161" customFormat="false" ht="15" hidden="false" customHeight="false" outlineLevel="0" collapsed="false">
      <c r="A161" s="6"/>
      <c r="B161" s="13"/>
      <c r="C161" s="6"/>
      <c r="D161" s="6"/>
      <c r="E161" s="6"/>
      <c r="F161" s="14"/>
      <c r="G161" s="15" t="n">
        <v>0.19</v>
      </c>
      <c r="H161" s="16" t="str">
        <f aca="false">IF(OR(F161="",G161=""),"",ROUND(F161-F161/(1+G161),2))</f>
        <v/>
      </c>
      <c r="I161" s="16" t="str">
        <f aca="false">IF(F161="","",ROUND(F161-H161,2))</f>
        <v/>
      </c>
      <c r="J161" s="6"/>
      <c r="K161" s="17" t="str">
        <f aca="false">IF(F161="","",IF(F161&lt;=250,"ja — Kleinbetrag",IF(J161="Firma","ja","NEIN — Beleg umschreiben lassen")))</f>
        <v/>
      </c>
      <c r="L161" s="13"/>
      <c r="M161" s="17" t="str">
        <f aca="false">IF(F161="","",IF(E161="Kraftstoff Privat-Pkw","NICHT BUCHEN — km-Pauschale nutzen",IF(E161="Private Kleidung","NICHT ABZUGSFAEHIG (§ 12 Nr. 1 EStG)",IF(L161="","offen — noch nicht erstattet","erledigt"))))</f>
        <v/>
      </c>
    </row>
    <row r="162" customFormat="false" ht="15" hidden="false" customHeight="false" outlineLevel="0" collapsed="false">
      <c r="A162" s="6"/>
      <c r="B162" s="13"/>
      <c r="C162" s="6"/>
      <c r="D162" s="6"/>
      <c r="E162" s="6"/>
      <c r="F162" s="14"/>
      <c r="G162" s="15" t="n">
        <v>0.19</v>
      </c>
      <c r="H162" s="16" t="str">
        <f aca="false">IF(OR(F162="",G162=""),"",ROUND(F162-F162/(1+G162),2))</f>
        <v/>
      </c>
      <c r="I162" s="16" t="str">
        <f aca="false">IF(F162="","",ROUND(F162-H162,2))</f>
        <v/>
      </c>
      <c r="J162" s="6"/>
      <c r="K162" s="17" t="str">
        <f aca="false">IF(F162="","",IF(F162&lt;=250,"ja — Kleinbetrag",IF(J162="Firma","ja","NEIN — Beleg umschreiben lassen")))</f>
        <v/>
      </c>
      <c r="L162" s="13"/>
      <c r="M162" s="17" t="str">
        <f aca="false">IF(F162="","",IF(E162="Kraftstoff Privat-Pkw","NICHT BUCHEN — km-Pauschale nutzen",IF(E162="Private Kleidung","NICHT ABZUGSFAEHIG (§ 12 Nr. 1 EStG)",IF(L162="","offen — noch nicht erstattet","erledigt"))))</f>
        <v/>
      </c>
    </row>
    <row r="163" customFormat="false" ht="15" hidden="false" customHeight="false" outlineLevel="0" collapsed="false">
      <c r="A163" s="6"/>
      <c r="B163" s="13"/>
      <c r="C163" s="6"/>
      <c r="D163" s="6"/>
      <c r="E163" s="6"/>
      <c r="F163" s="14"/>
      <c r="G163" s="15" t="n">
        <v>0.19</v>
      </c>
      <c r="H163" s="16" t="str">
        <f aca="false">IF(OR(F163="",G163=""),"",ROUND(F163-F163/(1+G163),2))</f>
        <v/>
      </c>
      <c r="I163" s="16" t="str">
        <f aca="false">IF(F163="","",ROUND(F163-H163,2))</f>
        <v/>
      </c>
      <c r="J163" s="6"/>
      <c r="K163" s="17" t="str">
        <f aca="false">IF(F163="","",IF(F163&lt;=250,"ja — Kleinbetrag",IF(J163="Firma","ja","NEIN — Beleg umschreiben lassen")))</f>
        <v/>
      </c>
      <c r="L163" s="13"/>
      <c r="M163" s="17" t="str">
        <f aca="false">IF(F163="","",IF(E163="Kraftstoff Privat-Pkw","NICHT BUCHEN — km-Pauschale nutzen",IF(E163="Private Kleidung","NICHT ABZUGSFAEHIG (§ 12 Nr. 1 EStG)",IF(L163="","offen — noch nicht erstattet","erledigt"))))</f>
        <v/>
      </c>
    </row>
    <row r="164" customFormat="false" ht="15" hidden="false" customHeight="false" outlineLevel="0" collapsed="false">
      <c r="A164" s="6"/>
      <c r="B164" s="13"/>
      <c r="C164" s="6"/>
      <c r="D164" s="6"/>
      <c r="E164" s="6"/>
      <c r="F164" s="14"/>
      <c r="G164" s="15" t="n">
        <v>0.19</v>
      </c>
      <c r="H164" s="16" t="str">
        <f aca="false">IF(OR(F164="",G164=""),"",ROUND(F164-F164/(1+G164),2))</f>
        <v/>
      </c>
      <c r="I164" s="16" t="str">
        <f aca="false">IF(F164="","",ROUND(F164-H164,2))</f>
        <v/>
      </c>
      <c r="J164" s="6"/>
      <c r="K164" s="17" t="str">
        <f aca="false">IF(F164="","",IF(F164&lt;=250,"ja — Kleinbetrag",IF(J164="Firma","ja","NEIN — Beleg umschreiben lassen")))</f>
        <v/>
      </c>
      <c r="L164" s="13"/>
      <c r="M164" s="17" t="str">
        <f aca="false">IF(F164="","",IF(E164="Kraftstoff Privat-Pkw","NICHT BUCHEN — km-Pauschale nutzen",IF(E164="Private Kleidung","NICHT ABZUGSFAEHIG (§ 12 Nr. 1 EStG)",IF(L164="","offen — noch nicht erstattet","erledigt"))))</f>
        <v/>
      </c>
    </row>
    <row r="165" customFormat="false" ht="15" hidden="false" customHeight="false" outlineLevel="0" collapsed="false">
      <c r="A165" s="6"/>
      <c r="B165" s="13"/>
      <c r="C165" s="6"/>
      <c r="D165" s="6"/>
      <c r="E165" s="6"/>
      <c r="F165" s="14"/>
      <c r="G165" s="15" t="n">
        <v>0.19</v>
      </c>
      <c r="H165" s="16" t="str">
        <f aca="false">IF(OR(F165="",G165=""),"",ROUND(F165-F165/(1+G165),2))</f>
        <v/>
      </c>
      <c r="I165" s="16" t="str">
        <f aca="false">IF(F165="","",ROUND(F165-H165,2))</f>
        <v/>
      </c>
      <c r="J165" s="6"/>
      <c r="K165" s="17" t="str">
        <f aca="false">IF(F165="","",IF(F165&lt;=250,"ja — Kleinbetrag",IF(J165="Firma","ja","NEIN — Beleg umschreiben lassen")))</f>
        <v/>
      </c>
      <c r="L165" s="13"/>
      <c r="M165" s="17" t="str">
        <f aca="false">IF(F165="","",IF(E165="Kraftstoff Privat-Pkw","NICHT BUCHEN — km-Pauschale nutzen",IF(E165="Private Kleidung","NICHT ABZUGSFAEHIG (§ 12 Nr. 1 EStG)",IF(L165="","offen — noch nicht erstattet","erledigt"))))</f>
        <v/>
      </c>
    </row>
    <row r="166" customFormat="false" ht="15" hidden="false" customHeight="false" outlineLevel="0" collapsed="false">
      <c r="A166" s="6"/>
      <c r="B166" s="13"/>
      <c r="C166" s="6"/>
      <c r="D166" s="6"/>
      <c r="E166" s="6"/>
      <c r="F166" s="14"/>
      <c r="G166" s="15" t="n">
        <v>0.19</v>
      </c>
      <c r="H166" s="16" t="str">
        <f aca="false">IF(OR(F166="",G166=""),"",ROUND(F166-F166/(1+G166),2))</f>
        <v/>
      </c>
      <c r="I166" s="16" t="str">
        <f aca="false">IF(F166="","",ROUND(F166-H166,2))</f>
        <v/>
      </c>
      <c r="J166" s="6"/>
      <c r="K166" s="17" t="str">
        <f aca="false">IF(F166="","",IF(F166&lt;=250,"ja — Kleinbetrag",IF(J166="Firma","ja","NEIN — Beleg umschreiben lassen")))</f>
        <v/>
      </c>
      <c r="L166" s="13"/>
      <c r="M166" s="17" t="str">
        <f aca="false">IF(F166="","",IF(E166="Kraftstoff Privat-Pkw","NICHT BUCHEN — km-Pauschale nutzen",IF(E166="Private Kleidung","NICHT ABZUGSFAEHIG (§ 12 Nr. 1 EStG)",IF(L166="","offen — noch nicht erstattet","erledigt"))))</f>
        <v/>
      </c>
    </row>
    <row r="167" customFormat="false" ht="15" hidden="false" customHeight="false" outlineLevel="0" collapsed="false">
      <c r="A167" s="6"/>
      <c r="B167" s="13"/>
      <c r="C167" s="6"/>
      <c r="D167" s="6"/>
      <c r="E167" s="6"/>
      <c r="F167" s="14"/>
      <c r="G167" s="15" t="n">
        <v>0.19</v>
      </c>
      <c r="H167" s="16" t="str">
        <f aca="false">IF(OR(F167="",G167=""),"",ROUND(F167-F167/(1+G167),2))</f>
        <v/>
      </c>
      <c r="I167" s="16" t="str">
        <f aca="false">IF(F167="","",ROUND(F167-H167,2))</f>
        <v/>
      </c>
      <c r="J167" s="6"/>
      <c r="K167" s="17" t="str">
        <f aca="false">IF(F167="","",IF(F167&lt;=250,"ja — Kleinbetrag",IF(J167="Firma","ja","NEIN — Beleg umschreiben lassen")))</f>
        <v/>
      </c>
      <c r="L167" s="13"/>
      <c r="M167" s="17" t="str">
        <f aca="false">IF(F167="","",IF(E167="Kraftstoff Privat-Pkw","NICHT BUCHEN — km-Pauschale nutzen",IF(E167="Private Kleidung","NICHT ABZUGSFAEHIG (§ 12 Nr. 1 EStG)",IF(L167="","offen — noch nicht erstattet","erledigt"))))</f>
        <v/>
      </c>
    </row>
    <row r="168" customFormat="false" ht="15" hidden="false" customHeight="false" outlineLevel="0" collapsed="false">
      <c r="A168" s="6"/>
      <c r="B168" s="13"/>
      <c r="C168" s="6"/>
      <c r="D168" s="6"/>
      <c r="E168" s="6"/>
      <c r="F168" s="14"/>
      <c r="G168" s="15" t="n">
        <v>0.19</v>
      </c>
      <c r="H168" s="16" t="str">
        <f aca="false">IF(OR(F168="",G168=""),"",ROUND(F168-F168/(1+G168),2))</f>
        <v/>
      </c>
      <c r="I168" s="16" t="str">
        <f aca="false">IF(F168="","",ROUND(F168-H168,2))</f>
        <v/>
      </c>
      <c r="J168" s="6"/>
      <c r="K168" s="17" t="str">
        <f aca="false">IF(F168="","",IF(F168&lt;=250,"ja — Kleinbetrag",IF(J168="Firma","ja","NEIN — Beleg umschreiben lassen")))</f>
        <v/>
      </c>
      <c r="L168" s="13"/>
      <c r="M168" s="17" t="str">
        <f aca="false">IF(F168="","",IF(E168="Kraftstoff Privat-Pkw","NICHT BUCHEN — km-Pauschale nutzen",IF(E168="Private Kleidung","NICHT ABZUGSFAEHIG (§ 12 Nr. 1 EStG)",IF(L168="","offen — noch nicht erstattet","erledigt"))))</f>
        <v/>
      </c>
    </row>
    <row r="169" customFormat="false" ht="15" hidden="false" customHeight="false" outlineLevel="0" collapsed="false">
      <c r="A169" s="6"/>
      <c r="B169" s="13"/>
      <c r="C169" s="6"/>
      <c r="D169" s="6"/>
      <c r="E169" s="6"/>
      <c r="F169" s="14"/>
      <c r="G169" s="15" t="n">
        <v>0.19</v>
      </c>
      <c r="H169" s="16" t="str">
        <f aca="false">IF(OR(F169="",G169=""),"",ROUND(F169-F169/(1+G169),2))</f>
        <v/>
      </c>
      <c r="I169" s="16" t="str">
        <f aca="false">IF(F169="","",ROUND(F169-H169,2))</f>
        <v/>
      </c>
      <c r="J169" s="6"/>
      <c r="K169" s="17" t="str">
        <f aca="false">IF(F169="","",IF(F169&lt;=250,"ja — Kleinbetrag",IF(J169="Firma","ja","NEIN — Beleg umschreiben lassen")))</f>
        <v/>
      </c>
      <c r="L169" s="13"/>
      <c r="M169" s="17" t="str">
        <f aca="false">IF(F169="","",IF(E169="Kraftstoff Privat-Pkw","NICHT BUCHEN — km-Pauschale nutzen",IF(E169="Private Kleidung","NICHT ABZUGSFAEHIG (§ 12 Nr. 1 EStG)",IF(L169="","offen — noch nicht erstattet","erledigt"))))</f>
        <v/>
      </c>
    </row>
    <row r="170" customFormat="false" ht="15" hidden="false" customHeight="false" outlineLevel="0" collapsed="false">
      <c r="A170" s="6"/>
      <c r="B170" s="13"/>
      <c r="C170" s="6"/>
      <c r="D170" s="6"/>
      <c r="E170" s="6"/>
      <c r="F170" s="14"/>
      <c r="G170" s="15" t="n">
        <v>0.19</v>
      </c>
      <c r="H170" s="16" t="str">
        <f aca="false">IF(OR(F170="",G170=""),"",ROUND(F170-F170/(1+G170),2))</f>
        <v/>
      </c>
      <c r="I170" s="16" t="str">
        <f aca="false">IF(F170="","",ROUND(F170-H170,2))</f>
        <v/>
      </c>
      <c r="J170" s="6"/>
      <c r="K170" s="17" t="str">
        <f aca="false">IF(F170="","",IF(F170&lt;=250,"ja — Kleinbetrag",IF(J170="Firma","ja","NEIN — Beleg umschreiben lassen")))</f>
        <v/>
      </c>
      <c r="L170" s="13"/>
      <c r="M170" s="17" t="str">
        <f aca="false">IF(F170="","",IF(E170="Kraftstoff Privat-Pkw","NICHT BUCHEN — km-Pauschale nutzen",IF(E170="Private Kleidung","NICHT ABZUGSFAEHIG (§ 12 Nr. 1 EStG)",IF(L170="","offen — noch nicht erstattet","erledigt"))))</f>
        <v/>
      </c>
    </row>
    <row r="171" customFormat="false" ht="15" hidden="false" customHeight="false" outlineLevel="0" collapsed="false">
      <c r="A171" s="6"/>
      <c r="B171" s="13"/>
      <c r="C171" s="6"/>
      <c r="D171" s="6"/>
      <c r="E171" s="6"/>
      <c r="F171" s="14"/>
      <c r="G171" s="15" t="n">
        <v>0.19</v>
      </c>
      <c r="H171" s="16" t="str">
        <f aca="false">IF(OR(F171="",G171=""),"",ROUND(F171-F171/(1+G171),2))</f>
        <v/>
      </c>
      <c r="I171" s="16" t="str">
        <f aca="false">IF(F171="","",ROUND(F171-H171,2))</f>
        <v/>
      </c>
      <c r="J171" s="6"/>
      <c r="K171" s="17" t="str">
        <f aca="false">IF(F171="","",IF(F171&lt;=250,"ja — Kleinbetrag",IF(J171="Firma","ja","NEIN — Beleg umschreiben lassen")))</f>
        <v/>
      </c>
      <c r="L171" s="13"/>
      <c r="M171" s="17" t="str">
        <f aca="false">IF(F171="","",IF(E171="Kraftstoff Privat-Pkw","NICHT BUCHEN — km-Pauschale nutzen",IF(E171="Private Kleidung","NICHT ABZUGSFAEHIG (§ 12 Nr. 1 EStG)",IF(L171="","offen — noch nicht erstattet","erledigt"))))</f>
        <v/>
      </c>
    </row>
    <row r="172" customFormat="false" ht="15" hidden="false" customHeight="false" outlineLevel="0" collapsed="false">
      <c r="A172" s="6"/>
      <c r="B172" s="13"/>
      <c r="C172" s="6"/>
      <c r="D172" s="6"/>
      <c r="E172" s="6"/>
      <c r="F172" s="14"/>
      <c r="G172" s="15" t="n">
        <v>0.19</v>
      </c>
      <c r="H172" s="16" t="str">
        <f aca="false">IF(OR(F172="",G172=""),"",ROUND(F172-F172/(1+G172),2))</f>
        <v/>
      </c>
      <c r="I172" s="16" t="str">
        <f aca="false">IF(F172="","",ROUND(F172-H172,2))</f>
        <v/>
      </c>
      <c r="J172" s="6"/>
      <c r="K172" s="17" t="str">
        <f aca="false">IF(F172="","",IF(F172&lt;=250,"ja — Kleinbetrag",IF(J172="Firma","ja","NEIN — Beleg umschreiben lassen")))</f>
        <v/>
      </c>
      <c r="L172" s="13"/>
      <c r="M172" s="17" t="str">
        <f aca="false">IF(F172="","",IF(E172="Kraftstoff Privat-Pkw","NICHT BUCHEN — km-Pauschale nutzen",IF(E172="Private Kleidung","NICHT ABZUGSFAEHIG (§ 12 Nr. 1 EStG)",IF(L172="","offen — noch nicht erstattet","erledigt"))))</f>
        <v/>
      </c>
    </row>
    <row r="173" customFormat="false" ht="15" hidden="false" customHeight="false" outlineLevel="0" collapsed="false">
      <c r="A173" s="6"/>
      <c r="B173" s="13"/>
      <c r="C173" s="6"/>
      <c r="D173" s="6"/>
      <c r="E173" s="6"/>
      <c r="F173" s="14"/>
      <c r="G173" s="15" t="n">
        <v>0.19</v>
      </c>
      <c r="H173" s="16" t="str">
        <f aca="false">IF(OR(F173="",G173=""),"",ROUND(F173-F173/(1+G173),2))</f>
        <v/>
      </c>
      <c r="I173" s="16" t="str">
        <f aca="false">IF(F173="","",ROUND(F173-H173,2))</f>
        <v/>
      </c>
      <c r="J173" s="6"/>
      <c r="K173" s="17" t="str">
        <f aca="false">IF(F173="","",IF(F173&lt;=250,"ja — Kleinbetrag",IF(J173="Firma","ja","NEIN — Beleg umschreiben lassen")))</f>
        <v/>
      </c>
      <c r="L173" s="13"/>
      <c r="M173" s="17" t="str">
        <f aca="false">IF(F173="","",IF(E173="Kraftstoff Privat-Pkw","NICHT BUCHEN — km-Pauschale nutzen",IF(E173="Private Kleidung","NICHT ABZUGSFAEHIG (§ 12 Nr. 1 EStG)",IF(L173="","offen — noch nicht erstattet","erledigt"))))</f>
        <v/>
      </c>
    </row>
    <row r="174" customFormat="false" ht="15" hidden="false" customHeight="false" outlineLevel="0" collapsed="false">
      <c r="A174" s="6"/>
      <c r="B174" s="13"/>
      <c r="C174" s="6"/>
      <c r="D174" s="6"/>
      <c r="E174" s="6"/>
      <c r="F174" s="14"/>
      <c r="G174" s="15" t="n">
        <v>0.19</v>
      </c>
      <c r="H174" s="16" t="str">
        <f aca="false">IF(OR(F174="",G174=""),"",ROUND(F174-F174/(1+G174),2))</f>
        <v/>
      </c>
      <c r="I174" s="16" t="str">
        <f aca="false">IF(F174="","",ROUND(F174-H174,2))</f>
        <v/>
      </c>
      <c r="J174" s="6"/>
      <c r="K174" s="17" t="str">
        <f aca="false">IF(F174="","",IF(F174&lt;=250,"ja — Kleinbetrag",IF(J174="Firma","ja","NEIN — Beleg umschreiben lassen")))</f>
        <v/>
      </c>
      <c r="L174" s="13"/>
      <c r="M174" s="17" t="str">
        <f aca="false">IF(F174="","",IF(E174="Kraftstoff Privat-Pkw","NICHT BUCHEN — km-Pauschale nutzen",IF(E174="Private Kleidung","NICHT ABZUGSFAEHIG (§ 12 Nr. 1 EStG)",IF(L174="","offen — noch nicht erstattet","erledigt"))))</f>
        <v/>
      </c>
    </row>
    <row r="175" customFormat="false" ht="15" hidden="false" customHeight="false" outlineLevel="0" collapsed="false">
      <c r="A175" s="6"/>
      <c r="B175" s="13"/>
      <c r="C175" s="6"/>
      <c r="D175" s="6"/>
      <c r="E175" s="6"/>
      <c r="F175" s="14"/>
      <c r="G175" s="15" t="n">
        <v>0.19</v>
      </c>
      <c r="H175" s="16" t="str">
        <f aca="false">IF(OR(F175="",G175=""),"",ROUND(F175-F175/(1+G175),2))</f>
        <v/>
      </c>
      <c r="I175" s="16" t="str">
        <f aca="false">IF(F175="","",ROUND(F175-H175,2))</f>
        <v/>
      </c>
      <c r="J175" s="6"/>
      <c r="K175" s="17" t="str">
        <f aca="false">IF(F175="","",IF(F175&lt;=250,"ja — Kleinbetrag",IF(J175="Firma","ja","NEIN — Beleg umschreiben lassen")))</f>
        <v/>
      </c>
      <c r="L175" s="13"/>
      <c r="M175" s="17" t="str">
        <f aca="false">IF(F175="","",IF(E175="Kraftstoff Privat-Pkw","NICHT BUCHEN — km-Pauschale nutzen",IF(E175="Private Kleidung","NICHT ABZUGSFAEHIG (§ 12 Nr. 1 EStG)",IF(L175="","offen — noch nicht erstattet","erledigt"))))</f>
        <v/>
      </c>
    </row>
    <row r="176" customFormat="false" ht="15" hidden="false" customHeight="false" outlineLevel="0" collapsed="false">
      <c r="A176" s="6"/>
      <c r="B176" s="13"/>
      <c r="C176" s="6"/>
      <c r="D176" s="6"/>
      <c r="E176" s="6"/>
      <c r="F176" s="14"/>
      <c r="G176" s="15" t="n">
        <v>0.19</v>
      </c>
      <c r="H176" s="16" t="str">
        <f aca="false">IF(OR(F176="",G176=""),"",ROUND(F176-F176/(1+G176),2))</f>
        <v/>
      </c>
      <c r="I176" s="16" t="str">
        <f aca="false">IF(F176="","",ROUND(F176-H176,2))</f>
        <v/>
      </c>
      <c r="J176" s="6"/>
      <c r="K176" s="17" t="str">
        <f aca="false">IF(F176="","",IF(F176&lt;=250,"ja — Kleinbetrag",IF(J176="Firma","ja","NEIN — Beleg umschreiben lassen")))</f>
        <v/>
      </c>
      <c r="L176" s="13"/>
      <c r="M176" s="17" t="str">
        <f aca="false">IF(F176="","",IF(E176="Kraftstoff Privat-Pkw","NICHT BUCHEN — km-Pauschale nutzen",IF(E176="Private Kleidung","NICHT ABZUGSFAEHIG (§ 12 Nr. 1 EStG)",IF(L176="","offen — noch nicht erstattet","erledigt"))))</f>
        <v/>
      </c>
    </row>
    <row r="177" customFormat="false" ht="15" hidden="false" customHeight="false" outlineLevel="0" collapsed="false">
      <c r="A177" s="6"/>
      <c r="B177" s="13"/>
      <c r="C177" s="6"/>
      <c r="D177" s="6"/>
      <c r="E177" s="6"/>
      <c r="F177" s="14"/>
      <c r="G177" s="15" t="n">
        <v>0.19</v>
      </c>
      <c r="H177" s="16" t="str">
        <f aca="false">IF(OR(F177="",G177=""),"",ROUND(F177-F177/(1+G177),2))</f>
        <v/>
      </c>
      <c r="I177" s="16" t="str">
        <f aca="false">IF(F177="","",ROUND(F177-H177,2))</f>
        <v/>
      </c>
      <c r="J177" s="6"/>
      <c r="K177" s="17" t="str">
        <f aca="false">IF(F177="","",IF(F177&lt;=250,"ja — Kleinbetrag",IF(J177="Firma","ja","NEIN — Beleg umschreiben lassen")))</f>
        <v/>
      </c>
      <c r="L177" s="13"/>
      <c r="M177" s="17" t="str">
        <f aca="false">IF(F177="","",IF(E177="Kraftstoff Privat-Pkw","NICHT BUCHEN — km-Pauschale nutzen",IF(E177="Private Kleidung","NICHT ABZUGSFAEHIG (§ 12 Nr. 1 EStG)",IF(L177="","offen — noch nicht erstattet","erledigt"))))</f>
        <v/>
      </c>
    </row>
    <row r="178" customFormat="false" ht="15" hidden="false" customHeight="false" outlineLevel="0" collapsed="false">
      <c r="A178" s="6"/>
      <c r="B178" s="13"/>
      <c r="C178" s="6"/>
      <c r="D178" s="6"/>
      <c r="E178" s="6"/>
      <c r="F178" s="14"/>
      <c r="G178" s="15" t="n">
        <v>0.19</v>
      </c>
      <c r="H178" s="16" t="str">
        <f aca="false">IF(OR(F178="",G178=""),"",ROUND(F178-F178/(1+G178),2))</f>
        <v/>
      </c>
      <c r="I178" s="16" t="str">
        <f aca="false">IF(F178="","",ROUND(F178-H178,2))</f>
        <v/>
      </c>
      <c r="J178" s="6"/>
      <c r="K178" s="17" t="str">
        <f aca="false">IF(F178="","",IF(F178&lt;=250,"ja — Kleinbetrag",IF(J178="Firma","ja","NEIN — Beleg umschreiben lassen")))</f>
        <v/>
      </c>
      <c r="L178" s="13"/>
      <c r="M178" s="17" t="str">
        <f aca="false">IF(F178="","",IF(E178="Kraftstoff Privat-Pkw","NICHT BUCHEN — km-Pauschale nutzen",IF(E178="Private Kleidung","NICHT ABZUGSFAEHIG (§ 12 Nr. 1 EStG)",IF(L178="","offen — noch nicht erstattet","erledigt"))))</f>
        <v/>
      </c>
    </row>
    <row r="179" customFormat="false" ht="15" hidden="false" customHeight="false" outlineLevel="0" collapsed="false">
      <c r="A179" s="6"/>
      <c r="B179" s="13"/>
      <c r="C179" s="6"/>
      <c r="D179" s="6"/>
      <c r="E179" s="6"/>
      <c r="F179" s="14"/>
      <c r="G179" s="15" t="n">
        <v>0.19</v>
      </c>
      <c r="H179" s="16" t="str">
        <f aca="false">IF(OR(F179="",G179=""),"",ROUND(F179-F179/(1+G179),2))</f>
        <v/>
      </c>
      <c r="I179" s="16" t="str">
        <f aca="false">IF(F179="","",ROUND(F179-H179,2))</f>
        <v/>
      </c>
      <c r="J179" s="6"/>
      <c r="K179" s="17" t="str">
        <f aca="false">IF(F179="","",IF(F179&lt;=250,"ja — Kleinbetrag",IF(J179="Firma","ja","NEIN — Beleg umschreiben lassen")))</f>
        <v/>
      </c>
      <c r="L179" s="13"/>
      <c r="M179" s="17" t="str">
        <f aca="false">IF(F179="","",IF(E179="Kraftstoff Privat-Pkw","NICHT BUCHEN — km-Pauschale nutzen",IF(E179="Private Kleidung","NICHT ABZUGSFAEHIG (§ 12 Nr. 1 EStG)",IF(L179="","offen — noch nicht erstattet","erledigt"))))</f>
        <v/>
      </c>
    </row>
    <row r="180" customFormat="false" ht="15" hidden="false" customHeight="false" outlineLevel="0" collapsed="false">
      <c r="A180" s="6"/>
      <c r="B180" s="13"/>
      <c r="C180" s="6"/>
      <c r="D180" s="6"/>
      <c r="E180" s="6"/>
      <c r="F180" s="14"/>
      <c r="G180" s="15" t="n">
        <v>0.19</v>
      </c>
      <c r="H180" s="16" t="str">
        <f aca="false">IF(OR(F180="",G180=""),"",ROUND(F180-F180/(1+G180),2))</f>
        <v/>
      </c>
      <c r="I180" s="16" t="str">
        <f aca="false">IF(F180="","",ROUND(F180-H180,2))</f>
        <v/>
      </c>
      <c r="J180" s="6"/>
      <c r="K180" s="17" t="str">
        <f aca="false">IF(F180="","",IF(F180&lt;=250,"ja — Kleinbetrag",IF(J180="Firma","ja","NEIN — Beleg umschreiben lassen")))</f>
        <v/>
      </c>
      <c r="L180" s="13"/>
      <c r="M180" s="17" t="str">
        <f aca="false">IF(F180="","",IF(E180="Kraftstoff Privat-Pkw","NICHT BUCHEN — km-Pauschale nutzen",IF(E180="Private Kleidung","NICHT ABZUGSFAEHIG (§ 12 Nr. 1 EStG)",IF(L180="","offen — noch nicht erstattet","erledigt"))))</f>
        <v/>
      </c>
    </row>
    <row r="181" customFormat="false" ht="15" hidden="false" customHeight="false" outlineLevel="0" collapsed="false">
      <c r="A181" s="6"/>
      <c r="B181" s="13"/>
      <c r="C181" s="6"/>
      <c r="D181" s="6"/>
      <c r="E181" s="6"/>
      <c r="F181" s="14"/>
      <c r="G181" s="15" t="n">
        <v>0.19</v>
      </c>
      <c r="H181" s="16" t="str">
        <f aca="false">IF(OR(F181="",G181=""),"",ROUND(F181-F181/(1+G181),2))</f>
        <v/>
      </c>
      <c r="I181" s="16" t="str">
        <f aca="false">IF(F181="","",ROUND(F181-H181,2))</f>
        <v/>
      </c>
      <c r="J181" s="6"/>
      <c r="K181" s="17" t="str">
        <f aca="false">IF(F181="","",IF(F181&lt;=250,"ja — Kleinbetrag",IF(J181="Firma","ja","NEIN — Beleg umschreiben lassen")))</f>
        <v/>
      </c>
      <c r="L181" s="13"/>
      <c r="M181" s="17" t="str">
        <f aca="false">IF(F181="","",IF(E181="Kraftstoff Privat-Pkw","NICHT BUCHEN — km-Pauschale nutzen",IF(E181="Private Kleidung","NICHT ABZUGSFAEHIG (§ 12 Nr. 1 EStG)",IF(L181="","offen — noch nicht erstattet","erledigt"))))</f>
        <v/>
      </c>
    </row>
    <row r="182" customFormat="false" ht="15" hidden="false" customHeight="false" outlineLevel="0" collapsed="false">
      <c r="A182" s="6"/>
      <c r="B182" s="13"/>
      <c r="C182" s="6"/>
      <c r="D182" s="6"/>
      <c r="E182" s="6"/>
      <c r="F182" s="14"/>
      <c r="G182" s="15" t="n">
        <v>0.19</v>
      </c>
      <c r="H182" s="16" t="str">
        <f aca="false">IF(OR(F182="",G182=""),"",ROUND(F182-F182/(1+G182),2))</f>
        <v/>
      </c>
      <c r="I182" s="16" t="str">
        <f aca="false">IF(F182="","",ROUND(F182-H182,2))</f>
        <v/>
      </c>
      <c r="J182" s="6"/>
      <c r="K182" s="17" t="str">
        <f aca="false">IF(F182="","",IF(F182&lt;=250,"ja — Kleinbetrag",IF(J182="Firma","ja","NEIN — Beleg umschreiben lassen")))</f>
        <v/>
      </c>
      <c r="L182" s="13"/>
      <c r="M182" s="17" t="str">
        <f aca="false">IF(F182="","",IF(E182="Kraftstoff Privat-Pkw","NICHT BUCHEN — km-Pauschale nutzen",IF(E182="Private Kleidung","NICHT ABZUGSFAEHIG (§ 12 Nr. 1 EStG)",IF(L182="","offen — noch nicht erstattet","erledigt"))))</f>
        <v/>
      </c>
    </row>
    <row r="183" customFormat="false" ht="15" hidden="false" customHeight="false" outlineLevel="0" collapsed="false">
      <c r="A183" s="6"/>
      <c r="B183" s="13"/>
      <c r="C183" s="6"/>
      <c r="D183" s="6"/>
      <c r="E183" s="6"/>
      <c r="F183" s="14"/>
      <c r="G183" s="15" t="n">
        <v>0.19</v>
      </c>
      <c r="H183" s="16" t="str">
        <f aca="false">IF(OR(F183="",G183=""),"",ROUND(F183-F183/(1+G183),2))</f>
        <v/>
      </c>
      <c r="I183" s="16" t="str">
        <f aca="false">IF(F183="","",ROUND(F183-H183,2))</f>
        <v/>
      </c>
      <c r="J183" s="6"/>
      <c r="K183" s="17" t="str">
        <f aca="false">IF(F183="","",IF(F183&lt;=250,"ja — Kleinbetrag",IF(J183="Firma","ja","NEIN — Beleg umschreiben lassen")))</f>
        <v/>
      </c>
      <c r="L183" s="13"/>
      <c r="M183" s="17" t="str">
        <f aca="false">IF(F183="","",IF(E183="Kraftstoff Privat-Pkw","NICHT BUCHEN — km-Pauschale nutzen",IF(E183="Private Kleidung","NICHT ABZUGSFAEHIG (§ 12 Nr. 1 EStG)",IF(L183="","offen — noch nicht erstattet","erledigt"))))</f>
        <v/>
      </c>
    </row>
    <row r="184" customFormat="false" ht="15" hidden="false" customHeight="false" outlineLevel="0" collapsed="false">
      <c r="A184" s="6"/>
      <c r="B184" s="13"/>
      <c r="C184" s="6"/>
      <c r="D184" s="6"/>
      <c r="E184" s="6"/>
      <c r="F184" s="14"/>
      <c r="G184" s="15" t="n">
        <v>0.19</v>
      </c>
      <c r="H184" s="16" t="str">
        <f aca="false">IF(OR(F184="",G184=""),"",ROUND(F184-F184/(1+G184),2))</f>
        <v/>
      </c>
      <c r="I184" s="16" t="str">
        <f aca="false">IF(F184="","",ROUND(F184-H184,2))</f>
        <v/>
      </c>
      <c r="J184" s="6"/>
      <c r="K184" s="17" t="str">
        <f aca="false">IF(F184="","",IF(F184&lt;=250,"ja — Kleinbetrag",IF(J184="Firma","ja","NEIN — Beleg umschreiben lassen")))</f>
        <v/>
      </c>
      <c r="L184" s="13"/>
      <c r="M184" s="17" t="str">
        <f aca="false">IF(F184="","",IF(E184="Kraftstoff Privat-Pkw","NICHT BUCHEN — km-Pauschale nutzen",IF(E184="Private Kleidung","NICHT ABZUGSFAEHIG (§ 12 Nr. 1 EStG)",IF(L184="","offen — noch nicht erstattet","erledigt"))))</f>
        <v/>
      </c>
    </row>
    <row r="185" customFormat="false" ht="15" hidden="false" customHeight="false" outlineLevel="0" collapsed="false">
      <c r="A185" s="6"/>
      <c r="B185" s="13"/>
      <c r="C185" s="6"/>
      <c r="D185" s="6"/>
      <c r="E185" s="6"/>
      <c r="F185" s="14"/>
      <c r="G185" s="15" t="n">
        <v>0.19</v>
      </c>
      <c r="H185" s="16" t="str">
        <f aca="false">IF(OR(F185="",G185=""),"",ROUND(F185-F185/(1+G185),2))</f>
        <v/>
      </c>
      <c r="I185" s="16" t="str">
        <f aca="false">IF(F185="","",ROUND(F185-H185,2))</f>
        <v/>
      </c>
      <c r="J185" s="6"/>
      <c r="K185" s="17" t="str">
        <f aca="false">IF(F185="","",IF(F185&lt;=250,"ja — Kleinbetrag",IF(J185="Firma","ja","NEIN — Beleg umschreiben lassen")))</f>
        <v/>
      </c>
      <c r="L185" s="13"/>
      <c r="M185" s="17" t="str">
        <f aca="false">IF(F185="","",IF(E185="Kraftstoff Privat-Pkw","NICHT BUCHEN — km-Pauschale nutzen",IF(E185="Private Kleidung","NICHT ABZUGSFAEHIG (§ 12 Nr. 1 EStG)",IF(L185="","offen — noch nicht erstattet","erledigt"))))</f>
        <v/>
      </c>
    </row>
    <row r="186" customFormat="false" ht="15" hidden="false" customHeight="false" outlineLevel="0" collapsed="false">
      <c r="A186" s="6"/>
      <c r="B186" s="13"/>
      <c r="C186" s="6"/>
      <c r="D186" s="6"/>
      <c r="E186" s="6"/>
      <c r="F186" s="14"/>
      <c r="G186" s="15" t="n">
        <v>0.19</v>
      </c>
      <c r="H186" s="16" t="str">
        <f aca="false">IF(OR(F186="",G186=""),"",ROUND(F186-F186/(1+G186),2))</f>
        <v/>
      </c>
      <c r="I186" s="16" t="str">
        <f aca="false">IF(F186="","",ROUND(F186-H186,2))</f>
        <v/>
      </c>
      <c r="J186" s="6"/>
      <c r="K186" s="17" t="str">
        <f aca="false">IF(F186="","",IF(F186&lt;=250,"ja — Kleinbetrag",IF(J186="Firma","ja","NEIN — Beleg umschreiben lassen")))</f>
        <v/>
      </c>
      <c r="L186" s="13"/>
      <c r="M186" s="17" t="str">
        <f aca="false">IF(F186="","",IF(E186="Kraftstoff Privat-Pkw","NICHT BUCHEN — km-Pauschale nutzen",IF(E186="Private Kleidung","NICHT ABZUGSFAEHIG (§ 12 Nr. 1 EStG)",IF(L186="","offen — noch nicht erstattet","erledigt"))))</f>
        <v/>
      </c>
    </row>
    <row r="187" customFormat="false" ht="15" hidden="false" customHeight="false" outlineLevel="0" collapsed="false">
      <c r="A187" s="6"/>
      <c r="B187" s="13"/>
      <c r="C187" s="6"/>
      <c r="D187" s="6"/>
      <c r="E187" s="6"/>
      <c r="F187" s="14"/>
      <c r="G187" s="15" t="n">
        <v>0.19</v>
      </c>
      <c r="H187" s="16" t="str">
        <f aca="false">IF(OR(F187="",G187=""),"",ROUND(F187-F187/(1+G187),2))</f>
        <v/>
      </c>
      <c r="I187" s="16" t="str">
        <f aca="false">IF(F187="","",ROUND(F187-H187,2))</f>
        <v/>
      </c>
      <c r="J187" s="6"/>
      <c r="K187" s="17" t="str">
        <f aca="false">IF(F187="","",IF(F187&lt;=250,"ja — Kleinbetrag",IF(J187="Firma","ja","NEIN — Beleg umschreiben lassen")))</f>
        <v/>
      </c>
      <c r="L187" s="13"/>
      <c r="M187" s="17" t="str">
        <f aca="false">IF(F187="","",IF(E187="Kraftstoff Privat-Pkw","NICHT BUCHEN — km-Pauschale nutzen",IF(E187="Private Kleidung","NICHT ABZUGSFAEHIG (§ 12 Nr. 1 EStG)",IF(L187="","offen — noch nicht erstattet","erledigt"))))</f>
        <v/>
      </c>
    </row>
    <row r="188" customFormat="false" ht="15" hidden="false" customHeight="false" outlineLevel="0" collapsed="false">
      <c r="A188" s="6"/>
      <c r="B188" s="13"/>
      <c r="C188" s="6"/>
      <c r="D188" s="6"/>
      <c r="E188" s="6"/>
      <c r="F188" s="14"/>
      <c r="G188" s="15" t="n">
        <v>0.19</v>
      </c>
      <c r="H188" s="16" t="str">
        <f aca="false">IF(OR(F188="",G188=""),"",ROUND(F188-F188/(1+G188),2))</f>
        <v/>
      </c>
      <c r="I188" s="16" t="str">
        <f aca="false">IF(F188="","",ROUND(F188-H188,2))</f>
        <v/>
      </c>
      <c r="J188" s="6"/>
      <c r="K188" s="17" t="str">
        <f aca="false">IF(F188="","",IF(F188&lt;=250,"ja — Kleinbetrag",IF(J188="Firma","ja","NEIN — Beleg umschreiben lassen")))</f>
        <v/>
      </c>
      <c r="L188" s="13"/>
      <c r="M188" s="17" t="str">
        <f aca="false">IF(F188="","",IF(E188="Kraftstoff Privat-Pkw","NICHT BUCHEN — km-Pauschale nutzen",IF(E188="Private Kleidung","NICHT ABZUGSFAEHIG (§ 12 Nr. 1 EStG)",IF(L188="","offen — noch nicht erstattet","erledigt"))))</f>
        <v/>
      </c>
    </row>
    <row r="189" customFormat="false" ht="15" hidden="false" customHeight="false" outlineLevel="0" collapsed="false">
      <c r="A189" s="6"/>
      <c r="B189" s="13"/>
      <c r="C189" s="6"/>
      <c r="D189" s="6"/>
      <c r="E189" s="6"/>
      <c r="F189" s="14"/>
      <c r="G189" s="15" t="n">
        <v>0.19</v>
      </c>
      <c r="H189" s="16" t="str">
        <f aca="false">IF(OR(F189="",G189=""),"",ROUND(F189-F189/(1+G189),2))</f>
        <v/>
      </c>
      <c r="I189" s="16" t="str">
        <f aca="false">IF(F189="","",ROUND(F189-H189,2))</f>
        <v/>
      </c>
      <c r="J189" s="6"/>
      <c r="K189" s="17" t="str">
        <f aca="false">IF(F189="","",IF(F189&lt;=250,"ja — Kleinbetrag",IF(J189="Firma","ja","NEIN — Beleg umschreiben lassen")))</f>
        <v/>
      </c>
      <c r="L189" s="13"/>
      <c r="M189" s="17" t="str">
        <f aca="false">IF(F189="","",IF(E189="Kraftstoff Privat-Pkw","NICHT BUCHEN — km-Pauschale nutzen",IF(E189="Private Kleidung","NICHT ABZUGSFAEHIG (§ 12 Nr. 1 EStG)",IF(L189="","offen — noch nicht erstattet","erledigt"))))</f>
        <v/>
      </c>
    </row>
    <row r="190" customFormat="false" ht="15" hidden="false" customHeight="false" outlineLevel="0" collapsed="false">
      <c r="A190" s="6"/>
      <c r="B190" s="13"/>
      <c r="C190" s="6"/>
      <c r="D190" s="6"/>
      <c r="E190" s="6"/>
      <c r="F190" s="14"/>
      <c r="G190" s="15" t="n">
        <v>0.19</v>
      </c>
      <c r="H190" s="16" t="str">
        <f aca="false">IF(OR(F190="",G190=""),"",ROUND(F190-F190/(1+G190),2))</f>
        <v/>
      </c>
      <c r="I190" s="16" t="str">
        <f aca="false">IF(F190="","",ROUND(F190-H190,2))</f>
        <v/>
      </c>
      <c r="J190" s="6"/>
      <c r="K190" s="17" t="str">
        <f aca="false">IF(F190="","",IF(F190&lt;=250,"ja — Kleinbetrag",IF(J190="Firma","ja","NEIN — Beleg umschreiben lassen")))</f>
        <v/>
      </c>
      <c r="L190" s="13"/>
      <c r="M190" s="17" t="str">
        <f aca="false">IF(F190="","",IF(E190="Kraftstoff Privat-Pkw","NICHT BUCHEN — km-Pauschale nutzen",IF(E190="Private Kleidung","NICHT ABZUGSFAEHIG (§ 12 Nr. 1 EStG)",IF(L190="","offen — noch nicht erstattet","erledigt"))))</f>
        <v/>
      </c>
    </row>
    <row r="191" customFormat="false" ht="15" hidden="false" customHeight="false" outlineLevel="0" collapsed="false">
      <c r="A191" s="6"/>
      <c r="B191" s="13"/>
      <c r="C191" s="6"/>
      <c r="D191" s="6"/>
      <c r="E191" s="6"/>
      <c r="F191" s="14"/>
      <c r="G191" s="15" t="n">
        <v>0.19</v>
      </c>
      <c r="H191" s="16" t="str">
        <f aca="false">IF(OR(F191="",G191=""),"",ROUND(F191-F191/(1+G191),2))</f>
        <v/>
      </c>
      <c r="I191" s="16" t="str">
        <f aca="false">IF(F191="","",ROUND(F191-H191,2))</f>
        <v/>
      </c>
      <c r="J191" s="6"/>
      <c r="K191" s="17" t="str">
        <f aca="false">IF(F191="","",IF(F191&lt;=250,"ja — Kleinbetrag",IF(J191="Firma","ja","NEIN — Beleg umschreiben lassen")))</f>
        <v/>
      </c>
      <c r="L191" s="13"/>
      <c r="M191" s="17" t="str">
        <f aca="false">IF(F191="","",IF(E191="Kraftstoff Privat-Pkw","NICHT BUCHEN — km-Pauschale nutzen",IF(E191="Private Kleidung","NICHT ABZUGSFAEHIG (§ 12 Nr. 1 EStG)",IF(L191="","offen — noch nicht erstattet","erledigt"))))</f>
        <v/>
      </c>
    </row>
    <row r="192" customFormat="false" ht="15" hidden="false" customHeight="false" outlineLevel="0" collapsed="false">
      <c r="A192" s="6"/>
      <c r="B192" s="13"/>
      <c r="C192" s="6"/>
      <c r="D192" s="6"/>
      <c r="E192" s="6"/>
      <c r="F192" s="14"/>
      <c r="G192" s="15" t="n">
        <v>0.19</v>
      </c>
      <c r="H192" s="16" t="str">
        <f aca="false">IF(OR(F192="",G192=""),"",ROUND(F192-F192/(1+G192),2))</f>
        <v/>
      </c>
      <c r="I192" s="16" t="str">
        <f aca="false">IF(F192="","",ROUND(F192-H192,2))</f>
        <v/>
      </c>
      <c r="J192" s="6"/>
      <c r="K192" s="17" t="str">
        <f aca="false">IF(F192="","",IF(F192&lt;=250,"ja — Kleinbetrag",IF(J192="Firma","ja","NEIN — Beleg umschreiben lassen")))</f>
        <v/>
      </c>
      <c r="L192" s="13"/>
      <c r="M192" s="17" t="str">
        <f aca="false">IF(F192="","",IF(E192="Kraftstoff Privat-Pkw","NICHT BUCHEN — km-Pauschale nutzen",IF(E192="Private Kleidung","NICHT ABZUGSFAEHIG (§ 12 Nr. 1 EStG)",IF(L192="","offen — noch nicht erstattet","erledigt"))))</f>
        <v/>
      </c>
    </row>
    <row r="193" customFormat="false" ht="15" hidden="false" customHeight="false" outlineLevel="0" collapsed="false">
      <c r="A193" s="6"/>
      <c r="B193" s="13"/>
      <c r="C193" s="6"/>
      <c r="D193" s="6"/>
      <c r="E193" s="6"/>
      <c r="F193" s="14"/>
      <c r="G193" s="15" t="n">
        <v>0.19</v>
      </c>
      <c r="H193" s="16" t="str">
        <f aca="false">IF(OR(F193="",G193=""),"",ROUND(F193-F193/(1+G193),2))</f>
        <v/>
      </c>
      <c r="I193" s="16" t="str">
        <f aca="false">IF(F193="","",ROUND(F193-H193,2))</f>
        <v/>
      </c>
      <c r="J193" s="6"/>
      <c r="K193" s="17" t="str">
        <f aca="false">IF(F193="","",IF(F193&lt;=250,"ja — Kleinbetrag",IF(J193="Firma","ja","NEIN — Beleg umschreiben lassen")))</f>
        <v/>
      </c>
      <c r="L193" s="13"/>
      <c r="M193" s="17" t="str">
        <f aca="false">IF(F193="","",IF(E193="Kraftstoff Privat-Pkw","NICHT BUCHEN — km-Pauschale nutzen",IF(E193="Private Kleidung","NICHT ABZUGSFAEHIG (§ 12 Nr. 1 EStG)",IF(L193="","offen — noch nicht erstattet","erledigt"))))</f>
        <v/>
      </c>
    </row>
    <row r="194" customFormat="false" ht="15" hidden="false" customHeight="false" outlineLevel="0" collapsed="false">
      <c r="A194" s="6"/>
      <c r="B194" s="13"/>
      <c r="C194" s="6"/>
      <c r="D194" s="6"/>
      <c r="E194" s="6"/>
      <c r="F194" s="14"/>
      <c r="G194" s="15" t="n">
        <v>0.19</v>
      </c>
      <c r="H194" s="16" t="str">
        <f aca="false">IF(OR(F194="",G194=""),"",ROUND(F194-F194/(1+G194),2))</f>
        <v/>
      </c>
      <c r="I194" s="16" t="str">
        <f aca="false">IF(F194="","",ROUND(F194-H194,2))</f>
        <v/>
      </c>
      <c r="J194" s="6"/>
      <c r="K194" s="17" t="str">
        <f aca="false">IF(F194="","",IF(F194&lt;=250,"ja — Kleinbetrag",IF(J194="Firma","ja","NEIN — Beleg umschreiben lassen")))</f>
        <v/>
      </c>
      <c r="L194" s="13"/>
      <c r="M194" s="17" t="str">
        <f aca="false">IF(F194="","",IF(E194="Kraftstoff Privat-Pkw","NICHT BUCHEN — km-Pauschale nutzen",IF(E194="Private Kleidung","NICHT ABZUGSFAEHIG (§ 12 Nr. 1 EStG)",IF(L194="","offen — noch nicht erstattet","erledigt"))))</f>
        <v/>
      </c>
    </row>
    <row r="195" customFormat="false" ht="15" hidden="false" customHeight="false" outlineLevel="0" collapsed="false">
      <c r="A195" s="6"/>
      <c r="B195" s="13"/>
      <c r="C195" s="6"/>
      <c r="D195" s="6"/>
      <c r="E195" s="6"/>
      <c r="F195" s="14"/>
      <c r="G195" s="15" t="n">
        <v>0.19</v>
      </c>
      <c r="H195" s="16" t="str">
        <f aca="false">IF(OR(F195="",G195=""),"",ROUND(F195-F195/(1+G195),2))</f>
        <v/>
      </c>
      <c r="I195" s="16" t="str">
        <f aca="false">IF(F195="","",ROUND(F195-H195,2))</f>
        <v/>
      </c>
      <c r="J195" s="6"/>
      <c r="K195" s="17" t="str">
        <f aca="false">IF(F195="","",IF(F195&lt;=250,"ja — Kleinbetrag",IF(J195="Firma","ja","NEIN — Beleg umschreiben lassen")))</f>
        <v/>
      </c>
      <c r="L195" s="13"/>
      <c r="M195" s="17" t="str">
        <f aca="false">IF(F195="","",IF(E195="Kraftstoff Privat-Pkw","NICHT BUCHEN — km-Pauschale nutzen",IF(E195="Private Kleidung","NICHT ABZUGSFAEHIG (§ 12 Nr. 1 EStG)",IF(L195="","offen — noch nicht erstattet","erledigt"))))</f>
        <v/>
      </c>
    </row>
    <row r="196" customFormat="false" ht="15" hidden="false" customHeight="false" outlineLevel="0" collapsed="false">
      <c r="A196" s="6"/>
      <c r="B196" s="13"/>
      <c r="C196" s="6"/>
      <c r="D196" s="6"/>
      <c r="E196" s="6"/>
      <c r="F196" s="14"/>
      <c r="G196" s="15" t="n">
        <v>0.19</v>
      </c>
      <c r="H196" s="16" t="str">
        <f aca="false">IF(OR(F196="",G196=""),"",ROUND(F196-F196/(1+G196),2))</f>
        <v/>
      </c>
      <c r="I196" s="16" t="str">
        <f aca="false">IF(F196="","",ROUND(F196-H196,2))</f>
        <v/>
      </c>
      <c r="J196" s="6"/>
      <c r="K196" s="17" t="str">
        <f aca="false">IF(F196="","",IF(F196&lt;=250,"ja — Kleinbetrag",IF(J196="Firma","ja","NEIN — Beleg umschreiben lassen")))</f>
        <v/>
      </c>
      <c r="L196" s="13"/>
      <c r="M196" s="17" t="str">
        <f aca="false">IF(F196="","",IF(E196="Kraftstoff Privat-Pkw","NICHT BUCHEN — km-Pauschale nutzen",IF(E196="Private Kleidung","NICHT ABZUGSFAEHIG (§ 12 Nr. 1 EStG)",IF(L196="","offen — noch nicht erstattet","erledigt"))))</f>
        <v/>
      </c>
    </row>
    <row r="197" customFormat="false" ht="15" hidden="false" customHeight="false" outlineLevel="0" collapsed="false">
      <c r="A197" s="6"/>
      <c r="B197" s="13"/>
      <c r="C197" s="6"/>
      <c r="D197" s="6"/>
      <c r="E197" s="6"/>
      <c r="F197" s="14"/>
      <c r="G197" s="15" t="n">
        <v>0.19</v>
      </c>
      <c r="H197" s="16" t="str">
        <f aca="false">IF(OR(F197="",G197=""),"",ROUND(F197-F197/(1+G197),2))</f>
        <v/>
      </c>
      <c r="I197" s="16" t="str">
        <f aca="false">IF(F197="","",ROUND(F197-H197,2))</f>
        <v/>
      </c>
      <c r="J197" s="6"/>
      <c r="K197" s="17" t="str">
        <f aca="false">IF(F197="","",IF(F197&lt;=250,"ja — Kleinbetrag",IF(J197="Firma","ja","NEIN — Beleg umschreiben lassen")))</f>
        <v/>
      </c>
      <c r="L197" s="13"/>
      <c r="M197" s="17" t="str">
        <f aca="false">IF(F197="","",IF(E197="Kraftstoff Privat-Pkw","NICHT BUCHEN — km-Pauschale nutzen",IF(E197="Private Kleidung","NICHT ABZUGSFAEHIG (§ 12 Nr. 1 EStG)",IF(L197="","offen — noch nicht erstattet","erledigt"))))</f>
        <v/>
      </c>
    </row>
    <row r="198" customFormat="false" ht="15" hidden="false" customHeight="false" outlineLevel="0" collapsed="false">
      <c r="A198" s="6"/>
      <c r="B198" s="13"/>
      <c r="C198" s="6"/>
      <c r="D198" s="6"/>
      <c r="E198" s="6"/>
      <c r="F198" s="14"/>
      <c r="G198" s="15" t="n">
        <v>0.19</v>
      </c>
      <c r="H198" s="16" t="str">
        <f aca="false">IF(OR(F198="",G198=""),"",ROUND(F198-F198/(1+G198),2))</f>
        <v/>
      </c>
      <c r="I198" s="16" t="str">
        <f aca="false">IF(F198="","",ROUND(F198-H198,2))</f>
        <v/>
      </c>
      <c r="J198" s="6"/>
      <c r="K198" s="17" t="str">
        <f aca="false">IF(F198="","",IF(F198&lt;=250,"ja — Kleinbetrag",IF(J198="Firma","ja","NEIN — Beleg umschreiben lassen")))</f>
        <v/>
      </c>
      <c r="L198" s="13"/>
      <c r="M198" s="17" t="str">
        <f aca="false">IF(F198="","",IF(E198="Kraftstoff Privat-Pkw","NICHT BUCHEN — km-Pauschale nutzen",IF(E198="Private Kleidung","NICHT ABZUGSFAEHIG (§ 12 Nr. 1 EStG)",IF(L198="","offen — noch nicht erstattet","erledigt"))))</f>
        <v/>
      </c>
    </row>
    <row r="199" customFormat="false" ht="15" hidden="false" customHeight="false" outlineLevel="0" collapsed="false">
      <c r="A199" s="6"/>
      <c r="B199" s="13"/>
      <c r="C199" s="6"/>
      <c r="D199" s="6"/>
      <c r="E199" s="6"/>
      <c r="F199" s="14"/>
      <c r="G199" s="15" t="n">
        <v>0.19</v>
      </c>
      <c r="H199" s="16" t="str">
        <f aca="false">IF(OR(F199="",G199=""),"",ROUND(F199-F199/(1+G199),2))</f>
        <v/>
      </c>
      <c r="I199" s="16" t="str">
        <f aca="false">IF(F199="","",ROUND(F199-H199,2))</f>
        <v/>
      </c>
      <c r="J199" s="6"/>
      <c r="K199" s="17" t="str">
        <f aca="false">IF(F199="","",IF(F199&lt;=250,"ja — Kleinbetrag",IF(J199="Firma","ja","NEIN — Beleg umschreiben lassen")))</f>
        <v/>
      </c>
      <c r="L199" s="13"/>
      <c r="M199" s="17" t="str">
        <f aca="false">IF(F199="","",IF(E199="Kraftstoff Privat-Pkw","NICHT BUCHEN — km-Pauschale nutzen",IF(E199="Private Kleidung","NICHT ABZUGSFAEHIG (§ 12 Nr. 1 EStG)",IF(L199="","offen — noch nicht erstattet","erledigt"))))</f>
        <v/>
      </c>
    </row>
    <row r="200" customFormat="false" ht="15" hidden="false" customHeight="false" outlineLevel="0" collapsed="false">
      <c r="A200" s="6"/>
      <c r="B200" s="13"/>
      <c r="C200" s="6"/>
      <c r="D200" s="6"/>
      <c r="E200" s="6"/>
      <c r="F200" s="14"/>
      <c r="G200" s="15" t="n">
        <v>0.19</v>
      </c>
      <c r="H200" s="16" t="str">
        <f aca="false">IF(OR(F200="",G200=""),"",ROUND(F200-F200/(1+G200),2))</f>
        <v/>
      </c>
      <c r="I200" s="16" t="str">
        <f aca="false">IF(F200="","",ROUND(F200-H200,2))</f>
        <v/>
      </c>
      <c r="J200" s="6"/>
      <c r="K200" s="17" t="str">
        <f aca="false">IF(F200="","",IF(F200&lt;=250,"ja — Kleinbetrag",IF(J200="Firma","ja","NEIN — Beleg umschreiben lassen")))</f>
        <v/>
      </c>
      <c r="L200" s="13"/>
      <c r="M200" s="17" t="str">
        <f aca="false">IF(F200="","",IF(E200="Kraftstoff Privat-Pkw","NICHT BUCHEN — km-Pauschale nutzen",IF(E200="Private Kleidung","NICHT ABZUGSFAEHIG (§ 12 Nr. 1 EStG)",IF(L200="","offen — noch nicht erstattet","erledigt"))))</f>
        <v/>
      </c>
    </row>
    <row r="201" customFormat="false" ht="15" hidden="false" customHeight="false" outlineLevel="0" collapsed="false">
      <c r="A201" s="6"/>
      <c r="B201" s="13"/>
      <c r="C201" s="6"/>
      <c r="D201" s="6"/>
      <c r="E201" s="6"/>
      <c r="F201" s="14"/>
      <c r="G201" s="15" t="n">
        <v>0.19</v>
      </c>
      <c r="H201" s="16" t="str">
        <f aca="false">IF(OR(F201="",G201=""),"",ROUND(F201-F201/(1+G201),2))</f>
        <v/>
      </c>
      <c r="I201" s="16" t="str">
        <f aca="false">IF(F201="","",ROUND(F201-H201,2))</f>
        <v/>
      </c>
      <c r="J201" s="6"/>
      <c r="K201" s="17" t="str">
        <f aca="false">IF(F201="","",IF(F201&lt;=250,"ja — Kleinbetrag",IF(J201="Firma","ja","NEIN — Beleg umschreiben lassen")))</f>
        <v/>
      </c>
      <c r="L201" s="13"/>
      <c r="M201" s="17" t="str">
        <f aca="false">IF(F201="","",IF(E201="Kraftstoff Privat-Pkw","NICHT BUCHEN — km-Pauschale nutzen",IF(E201="Private Kleidung","NICHT ABZUGSFAEHIG (§ 12 Nr. 1 EStG)",IF(L201="","offen — noch nicht erstattet","erledigt"))))</f>
        <v/>
      </c>
    </row>
    <row r="202" customFormat="false" ht="15" hidden="false" customHeight="false" outlineLevel="0" collapsed="false">
      <c r="A202" s="6"/>
      <c r="B202" s="13"/>
      <c r="C202" s="6"/>
      <c r="D202" s="6"/>
      <c r="E202" s="6"/>
      <c r="F202" s="14"/>
      <c r="G202" s="15" t="n">
        <v>0.19</v>
      </c>
      <c r="H202" s="16" t="str">
        <f aca="false">IF(OR(F202="",G202=""),"",ROUND(F202-F202/(1+G202),2))</f>
        <v/>
      </c>
      <c r="I202" s="16" t="str">
        <f aca="false">IF(F202="","",ROUND(F202-H202,2))</f>
        <v/>
      </c>
      <c r="J202" s="6"/>
      <c r="K202" s="17" t="str">
        <f aca="false">IF(F202="","",IF(F202&lt;=250,"ja — Kleinbetrag",IF(J202="Firma","ja","NEIN — Beleg umschreiben lassen")))</f>
        <v/>
      </c>
      <c r="L202" s="13"/>
      <c r="M202" s="17" t="str">
        <f aca="false">IF(F202="","",IF(E202="Kraftstoff Privat-Pkw","NICHT BUCHEN — km-Pauschale nutzen",IF(E202="Private Kleidung","NICHT ABZUGSFAEHIG (§ 12 Nr. 1 EStG)",IF(L202="","offen — noch nicht erstattet","erledigt"))))</f>
        <v/>
      </c>
    </row>
    <row r="203" customFormat="false" ht="15" hidden="false" customHeight="false" outlineLevel="0" collapsed="false">
      <c r="A203" s="6"/>
      <c r="B203" s="13"/>
      <c r="C203" s="6"/>
      <c r="D203" s="6"/>
      <c r="E203" s="6"/>
      <c r="F203" s="14"/>
      <c r="G203" s="15" t="n">
        <v>0.19</v>
      </c>
      <c r="H203" s="16" t="str">
        <f aca="false">IF(OR(F203="",G203=""),"",ROUND(F203-F203/(1+G203),2))</f>
        <v/>
      </c>
      <c r="I203" s="16" t="str">
        <f aca="false">IF(F203="","",ROUND(F203-H203,2))</f>
        <v/>
      </c>
      <c r="J203" s="6"/>
      <c r="K203" s="17" t="str">
        <f aca="false">IF(F203="","",IF(F203&lt;=250,"ja — Kleinbetrag",IF(J203="Firma","ja","NEIN — Beleg umschreiben lassen")))</f>
        <v/>
      </c>
      <c r="L203" s="13"/>
      <c r="M203" s="17" t="str">
        <f aca="false">IF(F203="","",IF(E203="Kraftstoff Privat-Pkw","NICHT BUCHEN — km-Pauschale nutzen",IF(E203="Private Kleidung","NICHT ABZUGSFAEHIG (§ 12 Nr. 1 EStG)",IF(L203="","offen — noch nicht erstattet","erledigt"))))</f>
        <v/>
      </c>
    </row>
    <row r="204" customFormat="false" ht="15" hidden="false" customHeight="false" outlineLevel="0" collapsed="false">
      <c r="A204" s="6"/>
      <c r="B204" s="13"/>
      <c r="C204" s="6"/>
      <c r="D204" s="6"/>
      <c r="E204" s="6"/>
      <c r="F204" s="14"/>
      <c r="G204" s="15" t="n">
        <v>0.19</v>
      </c>
      <c r="H204" s="16" t="str">
        <f aca="false">IF(OR(F204="",G204=""),"",ROUND(F204-F204/(1+G204),2))</f>
        <v/>
      </c>
      <c r="I204" s="16" t="str">
        <f aca="false">IF(F204="","",ROUND(F204-H204,2))</f>
        <v/>
      </c>
      <c r="J204" s="6"/>
      <c r="K204" s="17" t="str">
        <f aca="false">IF(F204="","",IF(F204&lt;=250,"ja — Kleinbetrag",IF(J204="Firma","ja","NEIN — Beleg umschreiben lassen")))</f>
        <v/>
      </c>
      <c r="L204" s="13"/>
      <c r="M204" s="17" t="str">
        <f aca="false">IF(F204="","",IF(E204="Kraftstoff Privat-Pkw","NICHT BUCHEN — km-Pauschale nutzen",IF(E204="Private Kleidung","NICHT ABZUGSFAEHIG (§ 12 Nr. 1 EStG)",IF(L204="","offen — noch nicht erstattet","erledigt"))))</f>
        <v/>
      </c>
    </row>
  </sheetData>
  <conditionalFormatting sqref="K5:K204">
    <cfRule type="cellIs" priority="2" operator="equal" aboveAverage="0" equalAverage="0" bottom="0" percent="0" rank="0" text="" dxfId="0">
      <formula>"NEIN — Beleg umschreiben lassen"</formula>
    </cfRule>
  </conditionalFormatting>
  <conditionalFormatting sqref="M5:M204">
    <cfRule type="cellIs" priority="3" operator="equal" aboveAverage="0" equalAverage="0" bottom="0" percent="0" rank="0" text="" dxfId="0">
      <formula>"NICHT BUCHEN — km-Pauschale nutzen"</formula>
    </cfRule>
    <cfRule type="cellIs" priority="4" operator="equal" aboveAverage="0" equalAverage="0" bottom="0" percent="0" rank="0" text="" dxfId="0">
      <formula>"NICHT ABZUGSFAEHIG (§ 12 Nr. 1 EStG)"</formula>
    </cfRule>
    <cfRule type="cellIs" priority="5" operator="equal" aboveAverage="0" equalAverage="0" bottom="0" percent="0" rank="0" text="" dxfId="1">
      <formula>"erledigt"</formula>
    </cfRule>
    <cfRule type="cellIs" priority="6" operator="equal" aboveAverage="0" equalAverage="0" bottom="0" percent="0" rank="0" text="" dxfId="2">
      <formula>"offen — noch nicht erstattet"</formula>
    </cfRule>
  </conditionalFormatting>
  <dataValidations count="2">
    <dataValidation allowBlank="true" errorStyle="stop" operator="between" showDropDown="false" showErrorMessage="false" showInputMessage="false" sqref="E5:E204" type="list">
      <formula1>"Kraftstoff Firmenfahrzeug,Kraftstoff Privat-Pkw,Berufskleidung PSA,Private Kleidung,Werkzeug Kleinteile,Buero Material,Porto,Bewirtung,Parkgebuehr,Fahrkarte,Software,Sonstiges"</formula1>
      <formula2>0</formula2>
    </dataValidation>
    <dataValidation allowBlank="true" errorStyle="stop" operator="between" showDropDown="false" showErrorMessage="false" showInputMessage="false" sqref="J5:J204" type="list">
      <formula1>"Firma,privat,kein Name (Kleinbetrag)"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21.75" hidden="false" customHeight="true" outlineLevel="0" collapsed="false">
      <c r="A1" s="1" t="s">
        <v>55</v>
      </c>
    </row>
    <row r="2" customFormat="false" ht="15" hidden="false" customHeight="false" outlineLevel="0" collapsed="false">
      <c r="A2" s="10" t="s">
        <v>56</v>
      </c>
      <c r="B2" s="18" t="n">
        <f aca="false">SUM(H5:H254)</f>
        <v>0</v>
      </c>
      <c r="C2" s="10" t="s">
        <v>57</v>
      </c>
      <c r="E2" s="19" t="n">
        <f aca="false">SUM(J5:J254)</f>
        <v>0</v>
      </c>
    </row>
    <row r="4" customFormat="false" ht="30" hidden="false" customHeight="true" outlineLevel="0" collapsed="false">
      <c r="A4" s="12" t="s">
        <v>43</v>
      </c>
      <c r="B4" s="12" t="s">
        <v>58</v>
      </c>
      <c r="C4" s="12" t="s">
        <v>59</v>
      </c>
      <c r="D4" s="12" t="s">
        <v>60</v>
      </c>
      <c r="E4" s="12" t="s">
        <v>61</v>
      </c>
      <c r="F4" s="12" t="s">
        <v>62</v>
      </c>
      <c r="G4" s="12" t="s">
        <v>63</v>
      </c>
      <c r="H4" s="12" t="s">
        <v>64</v>
      </c>
      <c r="I4" s="12" t="s">
        <v>65</v>
      </c>
      <c r="J4" s="12" t="s">
        <v>66</v>
      </c>
      <c r="K4" s="12" t="s">
        <v>67</v>
      </c>
    </row>
    <row r="5" customFormat="false" ht="15" hidden="false" customHeight="false" outlineLevel="0" collapsed="false">
      <c r="A5" s="13"/>
      <c r="B5" s="6"/>
      <c r="C5" s="6"/>
      <c r="D5" s="6"/>
      <c r="E5" s="6"/>
      <c r="F5" s="6"/>
      <c r="G5" s="6"/>
      <c r="H5" s="17" t="str">
        <f aca="false">IF(F5="","",F5+G5)</f>
        <v/>
      </c>
      <c r="I5" s="20" t="n">
        <v>0.3</v>
      </c>
      <c r="J5" s="16" t="str">
        <f aca="false">IF(H5="","",ROUND(H5*I5,2))</f>
        <v/>
      </c>
      <c r="K5" s="6"/>
    </row>
    <row r="6" customFormat="false" ht="15" hidden="false" customHeight="false" outlineLevel="0" collapsed="false">
      <c r="A6" s="13"/>
      <c r="B6" s="6"/>
      <c r="C6" s="6"/>
      <c r="D6" s="6"/>
      <c r="E6" s="6"/>
      <c r="F6" s="6"/>
      <c r="G6" s="6"/>
      <c r="H6" s="17" t="str">
        <f aca="false">IF(F6="","",F6+G6)</f>
        <v/>
      </c>
      <c r="I6" s="20" t="n">
        <v>0.3</v>
      </c>
      <c r="J6" s="16" t="str">
        <f aca="false">IF(H6="","",ROUND(H6*I6,2))</f>
        <v/>
      </c>
      <c r="K6" s="6"/>
    </row>
    <row r="7" customFormat="false" ht="15" hidden="false" customHeight="false" outlineLevel="0" collapsed="false">
      <c r="A7" s="13"/>
      <c r="B7" s="6"/>
      <c r="C7" s="6"/>
      <c r="D7" s="6"/>
      <c r="E7" s="6"/>
      <c r="F7" s="6"/>
      <c r="G7" s="6"/>
      <c r="H7" s="17" t="str">
        <f aca="false">IF(F7="","",F7+G7)</f>
        <v/>
      </c>
      <c r="I7" s="20" t="n">
        <v>0.3</v>
      </c>
      <c r="J7" s="16" t="str">
        <f aca="false">IF(H7="","",ROUND(H7*I7,2))</f>
        <v/>
      </c>
      <c r="K7" s="6"/>
    </row>
    <row r="8" customFormat="false" ht="15" hidden="false" customHeight="false" outlineLevel="0" collapsed="false">
      <c r="A8" s="13"/>
      <c r="B8" s="6"/>
      <c r="C8" s="6"/>
      <c r="D8" s="6"/>
      <c r="E8" s="6"/>
      <c r="F8" s="6"/>
      <c r="G8" s="6"/>
      <c r="H8" s="17" t="str">
        <f aca="false">IF(F8="","",F8+G8)</f>
        <v/>
      </c>
      <c r="I8" s="20" t="n">
        <v>0.3</v>
      </c>
      <c r="J8" s="16" t="str">
        <f aca="false">IF(H8="","",ROUND(H8*I8,2))</f>
        <v/>
      </c>
      <c r="K8" s="6"/>
    </row>
    <row r="9" customFormat="false" ht="15" hidden="false" customHeight="false" outlineLevel="0" collapsed="false">
      <c r="A9" s="13"/>
      <c r="B9" s="6"/>
      <c r="C9" s="6"/>
      <c r="D9" s="6"/>
      <c r="E9" s="6"/>
      <c r="F9" s="6"/>
      <c r="G9" s="6"/>
      <c r="H9" s="17" t="str">
        <f aca="false">IF(F9="","",F9+G9)</f>
        <v/>
      </c>
      <c r="I9" s="20" t="n">
        <v>0.3</v>
      </c>
      <c r="J9" s="16" t="str">
        <f aca="false">IF(H9="","",ROUND(H9*I9,2))</f>
        <v/>
      </c>
      <c r="K9" s="6"/>
    </row>
    <row r="10" customFormat="false" ht="15" hidden="false" customHeight="false" outlineLevel="0" collapsed="false">
      <c r="A10" s="13"/>
      <c r="B10" s="6"/>
      <c r="C10" s="6"/>
      <c r="D10" s="6"/>
      <c r="E10" s="6"/>
      <c r="F10" s="6"/>
      <c r="G10" s="6"/>
      <c r="H10" s="17" t="str">
        <f aca="false">IF(F10="","",F10+G10)</f>
        <v/>
      </c>
      <c r="I10" s="20" t="n">
        <v>0.3</v>
      </c>
      <c r="J10" s="16" t="str">
        <f aca="false">IF(H10="","",ROUND(H10*I10,2))</f>
        <v/>
      </c>
      <c r="K10" s="6"/>
    </row>
    <row r="11" customFormat="false" ht="15" hidden="false" customHeight="false" outlineLevel="0" collapsed="false">
      <c r="A11" s="13"/>
      <c r="B11" s="6"/>
      <c r="C11" s="6"/>
      <c r="D11" s="6"/>
      <c r="E11" s="6"/>
      <c r="F11" s="6"/>
      <c r="G11" s="6"/>
      <c r="H11" s="17" t="str">
        <f aca="false">IF(F11="","",F11+G11)</f>
        <v/>
      </c>
      <c r="I11" s="20" t="n">
        <v>0.3</v>
      </c>
      <c r="J11" s="16" t="str">
        <f aca="false">IF(H11="","",ROUND(H11*I11,2))</f>
        <v/>
      </c>
      <c r="K11" s="6"/>
    </row>
    <row r="12" customFormat="false" ht="15" hidden="false" customHeight="false" outlineLevel="0" collapsed="false">
      <c r="A12" s="13"/>
      <c r="B12" s="6"/>
      <c r="C12" s="6"/>
      <c r="D12" s="6"/>
      <c r="E12" s="6"/>
      <c r="F12" s="6"/>
      <c r="G12" s="6"/>
      <c r="H12" s="17" t="str">
        <f aca="false">IF(F12="","",F12+G12)</f>
        <v/>
      </c>
      <c r="I12" s="20" t="n">
        <v>0.3</v>
      </c>
      <c r="J12" s="16" t="str">
        <f aca="false">IF(H12="","",ROUND(H12*I12,2))</f>
        <v/>
      </c>
      <c r="K12" s="6"/>
    </row>
    <row r="13" customFormat="false" ht="15" hidden="false" customHeight="false" outlineLevel="0" collapsed="false">
      <c r="A13" s="13"/>
      <c r="B13" s="6"/>
      <c r="C13" s="6"/>
      <c r="D13" s="6"/>
      <c r="E13" s="6"/>
      <c r="F13" s="6"/>
      <c r="G13" s="6"/>
      <c r="H13" s="17" t="str">
        <f aca="false">IF(F13="","",F13+G13)</f>
        <v/>
      </c>
      <c r="I13" s="20" t="n">
        <v>0.3</v>
      </c>
      <c r="J13" s="16" t="str">
        <f aca="false">IF(H13="","",ROUND(H13*I13,2))</f>
        <v/>
      </c>
      <c r="K13" s="6"/>
    </row>
    <row r="14" customFormat="false" ht="15" hidden="false" customHeight="false" outlineLevel="0" collapsed="false">
      <c r="A14" s="13"/>
      <c r="B14" s="6"/>
      <c r="C14" s="6"/>
      <c r="D14" s="6"/>
      <c r="E14" s="6"/>
      <c r="F14" s="6"/>
      <c r="G14" s="6"/>
      <c r="H14" s="17" t="str">
        <f aca="false">IF(F14="","",F14+G14)</f>
        <v/>
      </c>
      <c r="I14" s="20" t="n">
        <v>0.3</v>
      </c>
      <c r="J14" s="16" t="str">
        <f aca="false">IF(H14="","",ROUND(H14*I14,2))</f>
        <v/>
      </c>
      <c r="K14" s="6"/>
    </row>
    <row r="15" customFormat="false" ht="15" hidden="false" customHeight="false" outlineLevel="0" collapsed="false">
      <c r="A15" s="13"/>
      <c r="B15" s="6"/>
      <c r="C15" s="6"/>
      <c r="D15" s="6"/>
      <c r="E15" s="6"/>
      <c r="F15" s="6"/>
      <c r="G15" s="6"/>
      <c r="H15" s="17" t="str">
        <f aca="false">IF(F15="","",F15+G15)</f>
        <v/>
      </c>
      <c r="I15" s="20" t="n">
        <v>0.3</v>
      </c>
      <c r="J15" s="16" t="str">
        <f aca="false">IF(H15="","",ROUND(H15*I15,2))</f>
        <v/>
      </c>
      <c r="K15" s="6"/>
    </row>
    <row r="16" customFormat="false" ht="15" hidden="false" customHeight="false" outlineLevel="0" collapsed="false">
      <c r="A16" s="13"/>
      <c r="B16" s="6"/>
      <c r="C16" s="6"/>
      <c r="D16" s="6"/>
      <c r="E16" s="6"/>
      <c r="F16" s="6"/>
      <c r="G16" s="6"/>
      <c r="H16" s="17" t="str">
        <f aca="false">IF(F16="","",F16+G16)</f>
        <v/>
      </c>
      <c r="I16" s="20" t="n">
        <v>0.3</v>
      </c>
      <c r="J16" s="16" t="str">
        <f aca="false">IF(H16="","",ROUND(H16*I16,2))</f>
        <v/>
      </c>
      <c r="K16" s="6"/>
    </row>
    <row r="17" customFormat="false" ht="15" hidden="false" customHeight="false" outlineLevel="0" collapsed="false">
      <c r="A17" s="13"/>
      <c r="B17" s="6"/>
      <c r="C17" s="6"/>
      <c r="D17" s="6"/>
      <c r="E17" s="6"/>
      <c r="F17" s="6"/>
      <c r="G17" s="6"/>
      <c r="H17" s="17" t="str">
        <f aca="false">IF(F17="","",F17+G17)</f>
        <v/>
      </c>
      <c r="I17" s="20" t="n">
        <v>0.3</v>
      </c>
      <c r="J17" s="16" t="str">
        <f aca="false">IF(H17="","",ROUND(H17*I17,2))</f>
        <v/>
      </c>
      <c r="K17" s="6"/>
    </row>
    <row r="18" customFormat="false" ht="15" hidden="false" customHeight="false" outlineLevel="0" collapsed="false">
      <c r="A18" s="13"/>
      <c r="B18" s="6"/>
      <c r="C18" s="6"/>
      <c r="D18" s="6"/>
      <c r="E18" s="6"/>
      <c r="F18" s="6"/>
      <c r="G18" s="6"/>
      <c r="H18" s="17" t="str">
        <f aca="false">IF(F18="","",F18+G18)</f>
        <v/>
      </c>
      <c r="I18" s="20" t="n">
        <v>0.3</v>
      </c>
      <c r="J18" s="16" t="str">
        <f aca="false">IF(H18="","",ROUND(H18*I18,2))</f>
        <v/>
      </c>
      <c r="K18" s="6"/>
    </row>
    <row r="19" customFormat="false" ht="15" hidden="false" customHeight="false" outlineLevel="0" collapsed="false">
      <c r="A19" s="13"/>
      <c r="B19" s="6"/>
      <c r="C19" s="6"/>
      <c r="D19" s="6"/>
      <c r="E19" s="6"/>
      <c r="F19" s="6"/>
      <c r="G19" s="6"/>
      <c r="H19" s="17" t="str">
        <f aca="false">IF(F19="","",F19+G19)</f>
        <v/>
      </c>
      <c r="I19" s="20" t="n">
        <v>0.3</v>
      </c>
      <c r="J19" s="16" t="str">
        <f aca="false">IF(H19="","",ROUND(H19*I19,2))</f>
        <v/>
      </c>
      <c r="K19" s="6"/>
    </row>
    <row r="20" customFormat="false" ht="15" hidden="false" customHeight="false" outlineLevel="0" collapsed="false">
      <c r="A20" s="13"/>
      <c r="B20" s="6"/>
      <c r="C20" s="6"/>
      <c r="D20" s="6"/>
      <c r="E20" s="6"/>
      <c r="F20" s="6"/>
      <c r="G20" s="6"/>
      <c r="H20" s="17" t="str">
        <f aca="false">IF(F20="","",F20+G20)</f>
        <v/>
      </c>
      <c r="I20" s="20" t="n">
        <v>0.3</v>
      </c>
      <c r="J20" s="16" t="str">
        <f aca="false">IF(H20="","",ROUND(H20*I20,2))</f>
        <v/>
      </c>
      <c r="K20" s="6"/>
    </row>
    <row r="21" customFormat="false" ht="15" hidden="false" customHeight="false" outlineLevel="0" collapsed="false">
      <c r="A21" s="13"/>
      <c r="B21" s="6"/>
      <c r="C21" s="6"/>
      <c r="D21" s="6"/>
      <c r="E21" s="6"/>
      <c r="F21" s="6"/>
      <c r="G21" s="6"/>
      <c r="H21" s="17" t="str">
        <f aca="false">IF(F21="","",F21+G21)</f>
        <v/>
      </c>
      <c r="I21" s="20" t="n">
        <v>0.3</v>
      </c>
      <c r="J21" s="16" t="str">
        <f aca="false">IF(H21="","",ROUND(H21*I21,2))</f>
        <v/>
      </c>
      <c r="K21" s="6"/>
    </row>
    <row r="22" customFormat="false" ht="15" hidden="false" customHeight="false" outlineLevel="0" collapsed="false">
      <c r="A22" s="13"/>
      <c r="B22" s="6"/>
      <c r="C22" s="6"/>
      <c r="D22" s="6"/>
      <c r="E22" s="6"/>
      <c r="F22" s="6"/>
      <c r="G22" s="6"/>
      <c r="H22" s="17" t="str">
        <f aca="false">IF(F22="","",F22+G22)</f>
        <v/>
      </c>
      <c r="I22" s="20" t="n">
        <v>0.3</v>
      </c>
      <c r="J22" s="16" t="str">
        <f aca="false">IF(H22="","",ROUND(H22*I22,2))</f>
        <v/>
      </c>
      <c r="K22" s="6"/>
    </row>
    <row r="23" customFormat="false" ht="15" hidden="false" customHeight="false" outlineLevel="0" collapsed="false">
      <c r="A23" s="13"/>
      <c r="B23" s="6"/>
      <c r="C23" s="6"/>
      <c r="D23" s="6"/>
      <c r="E23" s="6"/>
      <c r="F23" s="6"/>
      <c r="G23" s="6"/>
      <c r="H23" s="17" t="str">
        <f aca="false">IF(F23="","",F23+G23)</f>
        <v/>
      </c>
      <c r="I23" s="20" t="n">
        <v>0.3</v>
      </c>
      <c r="J23" s="16" t="str">
        <f aca="false">IF(H23="","",ROUND(H23*I23,2))</f>
        <v/>
      </c>
      <c r="K23" s="6"/>
    </row>
    <row r="24" customFormat="false" ht="15" hidden="false" customHeight="false" outlineLevel="0" collapsed="false">
      <c r="A24" s="13"/>
      <c r="B24" s="6"/>
      <c r="C24" s="6"/>
      <c r="D24" s="6"/>
      <c r="E24" s="6"/>
      <c r="F24" s="6"/>
      <c r="G24" s="6"/>
      <c r="H24" s="17" t="str">
        <f aca="false">IF(F24="","",F24+G24)</f>
        <v/>
      </c>
      <c r="I24" s="20" t="n">
        <v>0.3</v>
      </c>
      <c r="J24" s="16" t="str">
        <f aca="false">IF(H24="","",ROUND(H24*I24,2))</f>
        <v/>
      </c>
      <c r="K24" s="6"/>
    </row>
    <row r="25" customFormat="false" ht="15" hidden="false" customHeight="false" outlineLevel="0" collapsed="false">
      <c r="A25" s="13"/>
      <c r="B25" s="6"/>
      <c r="C25" s="6"/>
      <c r="D25" s="6"/>
      <c r="E25" s="6"/>
      <c r="F25" s="6"/>
      <c r="G25" s="6"/>
      <c r="H25" s="17" t="str">
        <f aca="false">IF(F25="","",F25+G25)</f>
        <v/>
      </c>
      <c r="I25" s="20" t="n">
        <v>0.3</v>
      </c>
      <c r="J25" s="16" t="str">
        <f aca="false">IF(H25="","",ROUND(H25*I25,2))</f>
        <v/>
      </c>
      <c r="K25" s="6"/>
    </row>
    <row r="26" customFormat="false" ht="15" hidden="false" customHeight="false" outlineLevel="0" collapsed="false">
      <c r="A26" s="13"/>
      <c r="B26" s="6"/>
      <c r="C26" s="6"/>
      <c r="D26" s="6"/>
      <c r="E26" s="6"/>
      <c r="F26" s="6"/>
      <c r="G26" s="6"/>
      <c r="H26" s="17" t="str">
        <f aca="false">IF(F26="","",F26+G26)</f>
        <v/>
      </c>
      <c r="I26" s="20" t="n">
        <v>0.3</v>
      </c>
      <c r="J26" s="16" t="str">
        <f aca="false">IF(H26="","",ROUND(H26*I26,2))</f>
        <v/>
      </c>
      <c r="K26" s="6"/>
    </row>
    <row r="27" customFormat="false" ht="15" hidden="false" customHeight="false" outlineLevel="0" collapsed="false">
      <c r="A27" s="13"/>
      <c r="B27" s="6"/>
      <c r="C27" s="6"/>
      <c r="D27" s="6"/>
      <c r="E27" s="6"/>
      <c r="F27" s="6"/>
      <c r="G27" s="6"/>
      <c r="H27" s="17" t="str">
        <f aca="false">IF(F27="","",F27+G27)</f>
        <v/>
      </c>
      <c r="I27" s="20" t="n">
        <v>0.3</v>
      </c>
      <c r="J27" s="16" t="str">
        <f aca="false">IF(H27="","",ROUND(H27*I27,2))</f>
        <v/>
      </c>
      <c r="K27" s="6"/>
    </row>
    <row r="28" customFormat="false" ht="15" hidden="false" customHeight="false" outlineLevel="0" collapsed="false">
      <c r="A28" s="13"/>
      <c r="B28" s="6"/>
      <c r="C28" s="6"/>
      <c r="D28" s="6"/>
      <c r="E28" s="6"/>
      <c r="F28" s="6"/>
      <c r="G28" s="6"/>
      <c r="H28" s="17" t="str">
        <f aca="false">IF(F28="","",F28+G28)</f>
        <v/>
      </c>
      <c r="I28" s="20" t="n">
        <v>0.3</v>
      </c>
      <c r="J28" s="16" t="str">
        <f aca="false">IF(H28="","",ROUND(H28*I28,2))</f>
        <v/>
      </c>
      <c r="K28" s="6"/>
    </row>
    <row r="29" customFormat="false" ht="15" hidden="false" customHeight="false" outlineLevel="0" collapsed="false">
      <c r="A29" s="13"/>
      <c r="B29" s="6"/>
      <c r="C29" s="6"/>
      <c r="D29" s="6"/>
      <c r="E29" s="6"/>
      <c r="F29" s="6"/>
      <c r="G29" s="6"/>
      <c r="H29" s="17" t="str">
        <f aca="false">IF(F29="","",F29+G29)</f>
        <v/>
      </c>
      <c r="I29" s="20" t="n">
        <v>0.3</v>
      </c>
      <c r="J29" s="16" t="str">
        <f aca="false">IF(H29="","",ROUND(H29*I29,2))</f>
        <v/>
      </c>
      <c r="K29" s="6"/>
    </row>
    <row r="30" customFormat="false" ht="15" hidden="false" customHeight="false" outlineLevel="0" collapsed="false">
      <c r="A30" s="13"/>
      <c r="B30" s="6"/>
      <c r="C30" s="6"/>
      <c r="D30" s="6"/>
      <c r="E30" s="6"/>
      <c r="F30" s="6"/>
      <c r="G30" s="6"/>
      <c r="H30" s="17" t="str">
        <f aca="false">IF(F30="","",F30+G30)</f>
        <v/>
      </c>
      <c r="I30" s="20" t="n">
        <v>0.3</v>
      </c>
      <c r="J30" s="16" t="str">
        <f aca="false">IF(H30="","",ROUND(H30*I30,2))</f>
        <v/>
      </c>
      <c r="K30" s="6"/>
    </row>
    <row r="31" customFormat="false" ht="15" hidden="false" customHeight="false" outlineLevel="0" collapsed="false">
      <c r="A31" s="13"/>
      <c r="B31" s="6"/>
      <c r="C31" s="6"/>
      <c r="D31" s="6"/>
      <c r="E31" s="6"/>
      <c r="F31" s="6"/>
      <c r="G31" s="6"/>
      <c r="H31" s="17" t="str">
        <f aca="false">IF(F31="","",F31+G31)</f>
        <v/>
      </c>
      <c r="I31" s="20" t="n">
        <v>0.3</v>
      </c>
      <c r="J31" s="16" t="str">
        <f aca="false">IF(H31="","",ROUND(H31*I31,2))</f>
        <v/>
      </c>
      <c r="K31" s="6"/>
    </row>
    <row r="32" customFormat="false" ht="15" hidden="false" customHeight="false" outlineLevel="0" collapsed="false">
      <c r="A32" s="13"/>
      <c r="B32" s="6"/>
      <c r="C32" s="6"/>
      <c r="D32" s="6"/>
      <c r="E32" s="6"/>
      <c r="F32" s="6"/>
      <c r="G32" s="6"/>
      <c r="H32" s="17" t="str">
        <f aca="false">IF(F32="","",F32+G32)</f>
        <v/>
      </c>
      <c r="I32" s="20" t="n">
        <v>0.3</v>
      </c>
      <c r="J32" s="16" t="str">
        <f aca="false">IF(H32="","",ROUND(H32*I32,2))</f>
        <v/>
      </c>
      <c r="K32" s="6"/>
    </row>
    <row r="33" customFormat="false" ht="15" hidden="false" customHeight="false" outlineLevel="0" collapsed="false">
      <c r="A33" s="13"/>
      <c r="B33" s="6"/>
      <c r="C33" s="6"/>
      <c r="D33" s="6"/>
      <c r="E33" s="6"/>
      <c r="F33" s="6"/>
      <c r="G33" s="6"/>
      <c r="H33" s="17" t="str">
        <f aca="false">IF(F33="","",F33+G33)</f>
        <v/>
      </c>
      <c r="I33" s="20" t="n">
        <v>0.3</v>
      </c>
      <c r="J33" s="16" t="str">
        <f aca="false">IF(H33="","",ROUND(H33*I33,2))</f>
        <v/>
      </c>
      <c r="K33" s="6"/>
    </row>
    <row r="34" customFormat="false" ht="15" hidden="false" customHeight="false" outlineLevel="0" collapsed="false">
      <c r="A34" s="13"/>
      <c r="B34" s="6"/>
      <c r="C34" s="6"/>
      <c r="D34" s="6"/>
      <c r="E34" s="6"/>
      <c r="F34" s="6"/>
      <c r="G34" s="6"/>
      <c r="H34" s="17" t="str">
        <f aca="false">IF(F34="","",F34+G34)</f>
        <v/>
      </c>
      <c r="I34" s="20" t="n">
        <v>0.3</v>
      </c>
      <c r="J34" s="16" t="str">
        <f aca="false">IF(H34="","",ROUND(H34*I34,2))</f>
        <v/>
      </c>
      <c r="K34" s="6"/>
    </row>
    <row r="35" customFormat="false" ht="15" hidden="false" customHeight="false" outlineLevel="0" collapsed="false">
      <c r="A35" s="13"/>
      <c r="B35" s="6"/>
      <c r="C35" s="6"/>
      <c r="D35" s="6"/>
      <c r="E35" s="6"/>
      <c r="F35" s="6"/>
      <c r="G35" s="6"/>
      <c r="H35" s="17" t="str">
        <f aca="false">IF(F35="","",F35+G35)</f>
        <v/>
      </c>
      <c r="I35" s="20" t="n">
        <v>0.3</v>
      </c>
      <c r="J35" s="16" t="str">
        <f aca="false">IF(H35="","",ROUND(H35*I35,2))</f>
        <v/>
      </c>
      <c r="K35" s="6"/>
    </row>
    <row r="36" customFormat="false" ht="15" hidden="false" customHeight="false" outlineLevel="0" collapsed="false">
      <c r="A36" s="13"/>
      <c r="B36" s="6"/>
      <c r="C36" s="6"/>
      <c r="D36" s="6"/>
      <c r="E36" s="6"/>
      <c r="F36" s="6"/>
      <c r="G36" s="6"/>
      <c r="H36" s="17" t="str">
        <f aca="false">IF(F36="","",F36+G36)</f>
        <v/>
      </c>
      <c r="I36" s="20" t="n">
        <v>0.3</v>
      </c>
      <c r="J36" s="16" t="str">
        <f aca="false">IF(H36="","",ROUND(H36*I36,2))</f>
        <v/>
      </c>
      <c r="K36" s="6"/>
    </row>
    <row r="37" customFormat="false" ht="15" hidden="false" customHeight="false" outlineLevel="0" collapsed="false">
      <c r="A37" s="13"/>
      <c r="B37" s="6"/>
      <c r="C37" s="6"/>
      <c r="D37" s="6"/>
      <c r="E37" s="6"/>
      <c r="F37" s="6"/>
      <c r="G37" s="6"/>
      <c r="H37" s="17" t="str">
        <f aca="false">IF(F37="","",F37+G37)</f>
        <v/>
      </c>
      <c r="I37" s="20" t="n">
        <v>0.3</v>
      </c>
      <c r="J37" s="16" t="str">
        <f aca="false">IF(H37="","",ROUND(H37*I37,2))</f>
        <v/>
      </c>
      <c r="K37" s="6"/>
    </row>
    <row r="38" customFormat="false" ht="15" hidden="false" customHeight="false" outlineLevel="0" collapsed="false">
      <c r="A38" s="13"/>
      <c r="B38" s="6"/>
      <c r="C38" s="6"/>
      <c r="D38" s="6"/>
      <c r="E38" s="6"/>
      <c r="F38" s="6"/>
      <c r="G38" s="6"/>
      <c r="H38" s="17" t="str">
        <f aca="false">IF(F38="","",F38+G38)</f>
        <v/>
      </c>
      <c r="I38" s="20" t="n">
        <v>0.3</v>
      </c>
      <c r="J38" s="16" t="str">
        <f aca="false">IF(H38="","",ROUND(H38*I38,2))</f>
        <v/>
      </c>
      <c r="K38" s="6"/>
    </row>
    <row r="39" customFormat="false" ht="15" hidden="false" customHeight="false" outlineLevel="0" collapsed="false">
      <c r="A39" s="13"/>
      <c r="B39" s="6"/>
      <c r="C39" s="6"/>
      <c r="D39" s="6"/>
      <c r="E39" s="6"/>
      <c r="F39" s="6"/>
      <c r="G39" s="6"/>
      <c r="H39" s="17" t="str">
        <f aca="false">IF(F39="","",F39+G39)</f>
        <v/>
      </c>
      <c r="I39" s="20" t="n">
        <v>0.3</v>
      </c>
      <c r="J39" s="16" t="str">
        <f aca="false">IF(H39="","",ROUND(H39*I39,2))</f>
        <v/>
      </c>
      <c r="K39" s="6"/>
    </row>
    <row r="40" customFormat="false" ht="15" hidden="false" customHeight="false" outlineLevel="0" collapsed="false">
      <c r="A40" s="13"/>
      <c r="B40" s="6"/>
      <c r="C40" s="6"/>
      <c r="D40" s="6"/>
      <c r="E40" s="6"/>
      <c r="F40" s="6"/>
      <c r="G40" s="6"/>
      <c r="H40" s="17" t="str">
        <f aca="false">IF(F40="","",F40+G40)</f>
        <v/>
      </c>
      <c r="I40" s="20" t="n">
        <v>0.3</v>
      </c>
      <c r="J40" s="16" t="str">
        <f aca="false">IF(H40="","",ROUND(H40*I40,2))</f>
        <v/>
      </c>
      <c r="K40" s="6"/>
    </row>
    <row r="41" customFormat="false" ht="15" hidden="false" customHeight="false" outlineLevel="0" collapsed="false">
      <c r="A41" s="13"/>
      <c r="B41" s="6"/>
      <c r="C41" s="6"/>
      <c r="D41" s="6"/>
      <c r="E41" s="6"/>
      <c r="F41" s="6"/>
      <c r="G41" s="6"/>
      <c r="H41" s="17" t="str">
        <f aca="false">IF(F41="","",F41+G41)</f>
        <v/>
      </c>
      <c r="I41" s="20" t="n">
        <v>0.3</v>
      </c>
      <c r="J41" s="16" t="str">
        <f aca="false">IF(H41="","",ROUND(H41*I41,2))</f>
        <v/>
      </c>
      <c r="K41" s="6"/>
    </row>
    <row r="42" customFormat="false" ht="15" hidden="false" customHeight="false" outlineLevel="0" collapsed="false">
      <c r="A42" s="13"/>
      <c r="B42" s="6"/>
      <c r="C42" s="6"/>
      <c r="D42" s="6"/>
      <c r="E42" s="6"/>
      <c r="F42" s="6"/>
      <c r="G42" s="6"/>
      <c r="H42" s="17" t="str">
        <f aca="false">IF(F42="","",F42+G42)</f>
        <v/>
      </c>
      <c r="I42" s="20" t="n">
        <v>0.3</v>
      </c>
      <c r="J42" s="16" t="str">
        <f aca="false">IF(H42="","",ROUND(H42*I42,2))</f>
        <v/>
      </c>
      <c r="K42" s="6"/>
    </row>
    <row r="43" customFormat="false" ht="15" hidden="false" customHeight="false" outlineLevel="0" collapsed="false">
      <c r="A43" s="13"/>
      <c r="B43" s="6"/>
      <c r="C43" s="6"/>
      <c r="D43" s="6"/>
      <c r="E43" s="6"/>
      <c r="F43" s="6"/>
      <c r="G43" s="6"/>
      <c r="H43" s="17" t="str">
        <f aca="false">IF(F43="","",F43+G43)</f>
        <v/>
      </c>
      <c r="I43" s="20" t="n">
        <v>0.3</v>
      </c>
      <c r="J43" s="16" t="str">
        <f aca="false">IF(H43="","",ROUND(H43*I43,2))</f>
        <v/>
      </c>
      <c r="K43" s="6"/>
    </row>
    <row r="44" customFormat="false" ht="15" hidden="false" customHeight="false" outlineLevel="0" collapsed="false">
      <c r="A44" s="13"/>
      <c r="B44" s="6"/>
      <c r="C44" s="6"/>
      <c r="D44" s="6"/>
      <c r="E44" s="6"/>
      <c r="F44" s="6"/>
      <c r="G44" s="6"/>
      <c r="H44" s="17" t="str">
        <f aca="false">IF(F44="","",F44+G44)</f>
        <v/>
      </c>
      <c r="I44" s="20" t="n">
        <v>0.3</v>
      </c>
      <c r="J44" s="16" t="str">
        <f aca="false">IF(H44="","",ROUND(H44*I44,2))</f>
        <v/>
      </c>
      <c r="K44" s="6"/>
    </row>
    <row r="45" customFormat="false" ht="15" hidden="false" customHeight="false" outlineLevel="0" collapsed="false">
      <c r="A45" s="13"/>
      <c r="B45" s="6"/>
      <c r="C45" s="6"/>
      <c r="D45" s="6"/>
      <c r="E45" s="6"/>
      <c r="F45" s="6"/>
      <c r="G45" s="6"/>
      <c r="H45" s="17" t="str">
        <f aca="false">IF(F45="","",F45+G45)</f>
        <v/>
      </c>
      <c r="I45" s="20" t="n">
        <v>0.3</v>
      </c>
      <c r="J45" s="16" t="str">
        <f aca="false">IF(H45="","",ROUND(H45*I45,2))</f>
        <v/>
      </c>
      <c r="K45" s="6"/>
    </row>
    <row r="46" customFormat="false" ht="15" hidden="false" customHeight="false" outlineLevel="0" collapsed="false">
      <c r="A46" s="13"/>
      <c r="B46" s="6"/>
      <c r="C46" s="6"/>
      <c r="D46" s="6"/>
      <c r="E46" s="6"/>
      <c r="F46" s="6"/>
      <c r="G46" s="6"/>
      <c r="H46" s="17" t="str">
        <f aca="false">IF(F46="","",F46+G46)</f>
        <v/>
      </c>
      <c r="I46" s="20" t="n">
        <v>0.3</v>
      </c>
      <c r="J46" s="16" t="str">
        <f aca="false">IF(H46="","",ROUND(H46*I46,2))</f>
        <v/>
      </c>
      <c r="K46" s="6"/>
    </row>
    <row r="47" customFormat="false" ht="15" hidden="false" customHeight="false" outlineLevel="0" collapsed="false">
      <c r="A47" s="13"/>
      <c r="B47" s="6"/>
      <c r="C47" s="6"/>
      <c r="D47" s="6"/>
      <c r="E47" s="6"/>
      <c r="F47" s="6"/>
      <c r="G47" s="6"/>
      <c r="H47" s="17" t="str">
        <f aca="false">IF(F47="","",F47+G47)</f>
        <v/>
      </c>
      <c r="I47" s="20" t="n">
        <v>0.3</v>
      </c>
      <c r="J47" s="16" t="str">
        <f aca="false">IF(H47="","",ROUND(H47*I47,2))</f>
        <v/>
      </c>
      <c r="K47" s="6"/>
    </row>
    <row r="48" customFormat="false" ht="15" hidden="false" customHeight="false" outlineLevel="0" collapsed="false">
      <c r="A48" s="13"/>
      <c r="B48" s="6"/>
      <c r="C48" s="6"/>
      <c r="D48" s="6"/>
      <c r="E48" s="6"/>
      <c r="F48" s="6"/>
      <c r="G48" s="6"/>
      <c r="H48" s="17" t="str">
        <f aca="false">IF(F48="","",F48+G48)</f>
        <v/>
      </c>
      <c r="I48" s="20" t="n">
        <v>0.3</v>
      </c>
      <c r="J48" s="16" t="str">
        <f aca="false">IF(H48="","",ROUND(H48*I48,2))</f>
        <v/>
      </c>
      <c r="K48" s="6"/>
    </row>
    <row r="49" customFormat="false" ht="15" hidden="false" customHeight="false" outlineLevel="0" collapsed="false">
      <c r="A49" s="13"/>
      <c r="B49" s="6"/>
      <c r="C49" s="6"/>
      <c r="D49" s="6"/>
      <c r="E49" s="6"/>
      <c r="F49" s="6"/>
      <c r="G49" s="6"/>
      <c r="H49" s="17" t="str">
        <f aca="false">IF(F49="","",F49+G49)</f>
        <v/>
      </c>
      <c r="I49" s="20" t="n">
        <v>0.3</v>
      </c>
      <c r="J49" s="16" t="str">
        <f aca="false">IF(H49="","",ROUND(H49*I49,2))</f>
        <v/>
      </c>
      <c r="K49" s="6"/>
    </row>
    <row r="50" customFormat="false" ht="15" hidden="false" customHeight="false" outlineLevel="0" collapsed="false">
      <c r="A50" s="13"/>
      <c r="B50" s="6"/>
      <c r="C50" s="6"/>
      <c r="D50" s="6"/>
      <c r="E50" s="6"/>
      <c r="F50" s="6"/>
      <c r="G50" s="6"/>
      <c r="H50" s="17" t="str">
        <f aca="false">IF(F50="","",F50+G50)</f>
        <v/>
      </c>
      <c r="I50" s="20" t="n">
        <v>0.3</v>
      </c>
      <c r="J50" s="16" t="str">
        <f aca="false">IF(H50="","",ROUND(H50*I50,2))</f>
        <v/>
      </c>
      <c r="K50" s="6"/>
    </row>
    <row r="51" customFormat="false" ht="15" hidden="false" customHeight="false" outlineLevel="0" collapsed="false">
      <c r="A51" s="13"/>
      <c r="B51" s="6"/>
      <c r="C51" s="6"/>
      <c r="D51" s="6"/>
      <c r="E51" s="6"/>
      <c r="F51" s="6"/>
      <c r="G51" s="6"/>
      <c r="H51" s="17" t="str">
        <f aca="false">IF(F51="","",F51+G51)</f>
        <v/>
      </c>
      <c r="I51" s="20" t="n">
        <v>0.3</v>
      </c>
      <c r="J51" s="16" t="str">
        <f aca="false">IF(H51="","",ROUND(H51*I51,2))</f>
        <v/>
      </c>
      <c r="K51" s="6"/>
    </row>
    <row r="52" customFormat="false" ht="15" hidden="false" customHeight="false" outlineLevel="0" collapsed="false">
      <c r="A52" s="13"/>
      <c r="B52" s="6"/>
      <c r="C52" s="6"/>
      <c r="D52" s="6"/>
      <c r="E52" s="6"/>
      <c r="F52" s="6"/>
      <c r="G52" s="6"/>
      <c r="H52" s="17" t="str">
        <f aca="false">IF(F52="","",F52+G52)</f>
        <v/>
      </c>
      <c r="I52" s="20" t="n">
        <v>0.3</v>
      </c>
      <c r="J52" s="16" t="str">
        <f aca="false">IF(H52="","",ROUND(H52*I52,2))</f>
        <v/>
      </c>
      <c r="K52" s="6"/>
    </row>
    <row r="53" customFormat="false" ht="15" hidden="false" customHeight="false" outlineLevel="0" collapsed="false">
      <c r="A53" s="13"/>
      <c r="B53" s="6"/>
      <c r="C53" s="6"/>
      <c r="D53" s="6"/>
      <c r="E53" s="6"/>
      <c r="F53" s="6"/>
      <c r="G53" s="6"/>
      <c r="H53" s="17" t="str">
        <f aca="false">IF(F53="","",F53+G53)</f>
        <v/>
      </c>
      <c r="I53" s="20" t="n">
        <v>0.3</v>
      </c>
      <c r="J53" s="16" t="str">
        <f aca="false">IF(H53="","",ROUND(H53*I53,2))</f>
        <v/>
      </c>
      <c r="K53" s="6"/>
    </row>
    <row r="54" customFormat="false" ht="15" hidden="false" customHeight="false" outlineLevel="0" collapsed="false">
      <c r="A54" s="13"/>
      <c r="B54" s="6"/>
      <c r="C54" s="6"/>
      <c r="D54" s="6"/>
      <c r="E54" s="6"/>
      <c r="F54" s="6"/>
      <c r="G54" s="6"/>
      <c r="H54" s="17" t="str">
        <f aca="false">IF(F54="","",F54+G54)</f>
        <v/>
      </c>
      <c r="I54" s="20" t="n">
        <v>0.3</v>
      </c>
      <c r="J54" s="16" t="str">
        <f aca="false">IF(H54="","",ROUND(H54*I54,2))</f>
        <v/>
      </c>
      <c r="K54" s="6"/>
    </row>
    <row r="55" customFormat="false" ht="15" hidden="false" customHeight="false" outlineLevel="0" collapsed="false">
      <c r="A55" s="13"/>
      <c r="B55" s="6"/>
      <c r="C55" s="6"/>
      <c r="D55" s="6"/>
      <c r="E55" s="6"/>
      <c r="F55" s="6"/>
      <c r="G55" s="6"/>
      <c r="H55" s="17" t="str">
        <f aca="false">IF(F55="","",F55+G55)</f>
        <v/>
      </c>
      <c r="I55" s="20" t="n">
        <v>0.3</v>
      </c>
      <c r="J55" s="16" t="str">
        <f aca="false">IF(H55="","",ROUND(H55*I55,2))</f>
        <v/>
      </c>
      <c r="K55" s="6"/>
    </row>
    <row r="56" customFormat="false" ht="15" hidden="false" customHeight="false" outlineLevel="0" collapsed="false">
      <c r="A56" s="13"/>
      <c r="B56" s="6"/>
      <c r="C56" s="6"/>
      <c r="D56" s="6"/>
      <c r="E56" s="6"/>
      <c r="F56" s="6"/>
      <c r="G56" s="6"/>
      <c r="H56" s="17" t="str">
        <f aca="false">IF(F56="","",F56+G56)</f>
        <v/>
      </c>
      <c r="I56" s="20" t="n">
        <v>0.3</v>
      </c>
      <c r="J56" s="16" t="str">
        <f aca="false">IF(H56="","",ROUND(H56*I56,2))</f>
        <v/>
      </c>
      <c r="K56" s="6"/>
    </row>
    <row r="57" customFormat="false" ht="15" hidden="false" customHeight="false" outlineLevel="0" collapsed="false">
      <c r="A57" s="13"/>
      <c r="B57" s="6"/>
      <c r="C57" s="6"/>
      <c r="D57" s="6"/>
      <c r="E57" s="6"/>
      <c r="F57" s="6"/>
      <c r="G57" s="6"/>
      <c r="H57" s="17" t="str">
        <f aca="false">IF(F57="","",F57+G57)</f>
        <v/>
      </c>
      <c r="I57" s="20" t="n">
        <v>0.3</v>
      </c>
      <c r="J57" s="16" t="str">
        <f aca="false">IF(H57="","",ROUND(H57*I57,2))</f>
        <v/>
      </c>
      <c r="K57" s="6"/>
    </row>
    <row r="58" customFormat="false" ht="15" hidden="false" customHeight="false" outlineLevel="0" collapsed="false">
      <c r="A58" s="13"/>
      <c r="B58" s="6"/>
      <c r="C58" s="6"/>
      <c r="D58" s="6"/>
      <c r="E58" s="6"/>
      <c r="F58" s="6"/>
      <c r="G58" s="6"/>
      <c r="H58" s="17" t="str">
        <f aca="false">IF(F58="","",F58+G58)</f>
        <v/>
      </c>
      <c r="I58" s="20" t="n">
        <v>0.3</v>
      </c>
      <c r="J58" s="16" t="str">
        <f aca="false">IF(H58="","",ROUND(H58*I58,2))</f>
        <v/>
      </c>
      <c r="K58" s="6"/>
    </row>
    <row r="59" customFormat="false" ht="15" hidden="false" customHeight="false" outlineLevel="0" collapsed="false">
      <c r="A59" s="13"/>
      <c r="B59" s="6"/>
      <c r="C59" s="6"/>
      <c r="D59" s="6"/>
      <c r="E59" s="6"/>
      <c r="F59" s="6"/>
      <c r="G59" s="6"/>
      <c r="H59" s="17" t="str">
        <f aca="false">IF(F59="","",F59+G59)</f>
        <v/>
      </c>
      <c r="I59" s="20" t="n">
        <v>0.3</v>
      </c>
      <c r="J59" s="16" t="str">
        <f aca="false">IF(H59="","",ROUND(H59*I59,2))</f>
        <v/>
      </c>
      <c r="K59" s="6"/>
    </row>
    <row r="60" customFormat="false" ht="15" hidden="false" customHeight="false" outlineLevel="0" collapsed="false">
      <c r="A60" s="13"/>
      <c r="B60" s="6"/>
      <c r="C60" s="6"/>
      <c r="D60" s="6"/>
      <c r="E60" s="6"/>
      <c r="F60" s="6"/>
      <c r="G60" s="6"/>
      <c r="H60" s="17" t="str">
        <f aca="false">IF(F60="","",F60+G60)</f>
        <v/>
      </c>
      <c r="I60" s="20" t="n">
        <v>0.3</v>
      </c>
      <c r="J60" s="16" t="str">
        <f aca="false">IF(H60="","",ROUND(H60*I60,2))</f>
        <v/>
      </c>
      <c r="K60" s="6"/>
    </row>
    <row r="61" customFormat="false" ht="15" hidden="false" customHeight="false" outlineLevel="0" collapsed="false">
      <c r="A61" s="13"/>
      <c r="B61" s="6"/>
      <c r="C61" s="6"/>
      <c r="D61" s="6"/>
      <c r="E61" s="6"/>
      <c r="F61" s="6"/>
      <c r="G61" s="6"/>
      <c r="H61" s="17" t="str">
        <f aca="false">IF(F61="","",F61+G61)</f>
        <v/>
      </c>
      <c r="I61" s="20" t="n">
        <v>0.3</v>
      </c>
      <c r="J61" s="16" t="str">
        <f aca="false">IF(H61="","",ROUND(H61*I61,2))</f>
        <v/>
      </c>
      <c r="K61" s="6"/>
    </row>
    <row r="62" customFormat="false" ht="15" hidden="false" customHeight="false" outlineLevel="0" collapsed="false">
      <c r="A62" s="13"/>
      <c r="B62" s="6"/>
      <c r="C62" s="6"/>
      <c r="D62" s="6"/>
      <c r="E62" s="6"/>
      <c r="F62" s="6"/>
      <c r="G62" s="6"/>
      <c r="H62" s="17" t="str">
        <f aca="false">IF(F62="","",F62+G62)</f>
        <v/>
      </c>
      <c r="I62" s="20" t="n">
        <v>0.3</v>
      </c>
      <c r="J62" s="16" t="str">
        <f aca="false">IF(H62="","",ROUND(H62*I62,2))</f>
        <v/>
      </c>
      <c r="K62" s="6"/>
    </row>
    <row r="63" customFormat="false" ht="15" hidden="false" customHeight="false" outlineLevel="0" collapsed="false">
      <c r="A63" s="13"/>
      <c r="B63" s="6"/>
      <c r="C63" s="6"/>
      <c r="D63" s="6"/>
      <c r="E63" s="6"/>
      <c r="F63" s="6"/>
      <c r="G63" s="6"/>
      <c r="H63" s="17" t="str">
        <f aca="false">IF(F63="","",F63+G63)</f>
        <v/>
      </c>
      <c r="I63" s="20" t="n">
        <v>0.3</v>
      </c>
      <c r="J63" s="16" t="str">
        <f aca="false">IF(H63="","",ROUND(H63*I63,2))</f>
        <v/>
      </c>
      <c r="K63" s="6"/>
    </row>
    <row r="64" customFormat="false" ht="15" hidden="false" customHeight="false" outlineLevel="0" collapsed="false">
      <c r="A64" s="13"/>
      <c r="B64" s="6"/>
      <c r="C64" s="6"/>
      <c r="D64" s="6"/>
      <c r="E64" s="6"/>
      <c r="F64" s="6"/>
      <c r="G64" s="6"/>
      <c r="H64" s="17" t="str">
        <f aca="false">IF(F64="","",F64+G64)</f>
        <v/>
      </c>
      <c r="I64" s="20" t="n">
        <v>0.3</v>
      </c>
      <c r="J64" s="16" t="str">
        <f aca="false">IF(H64="","",ROUND(H64*I64,2))</f>
        <v/>
      </c>
      <c r="K64" s="6"/>
    </row>
    <row r="65" customFormat="false" ht="15" hidden="false" customHeight="false" outlineLevel="0" collapsed="false">
      <c r="A65" s="13"/>
      <c r="B65" s="6"/>
      <c r="C65" s="6"/>
      <c r="D65" s="6"/>
      <c r="E65" s="6"/>
      <c r="F65" s="6"/>
      <c r="G65" s="6"/>
      <c r="H65" s="17" t="str">
        <f aca="false">IF(F65="","",F65+G65)</f>
        <v/>
      </c>
      <c r="I65" s="20" t="n">
        <v>0.3</v>
      </c>
      <c r="J65" s="16" t="str">
        <f aca="false">IF(H65="","",ROUND(H65*I65,2))</f>
        <v/>
      </c>
      <c r="K65" s="6"/>
    </row>
    <row r="66" customFormat="false" ht="15" hidden="false" customHeight="false" outlineLevel="0" collapsed="false">
      <c r="A66" s="13"/>
      <c r="B66" s="6"/>
      <c r="C66" s="6"/>
      <c r="D66" s="6"/>
      <c r="E66" s="6"/>
      <c r="F66" s="6"/>
      <c r="G66" s="6"/>
      <c r="H66" s="17" t="str">
        <f aca="false">IF(F66="","",F66+G66)</f>
        <v/>
      </c>
      <c r="I66" s="20" t="n">
        <v>0.3</v>
      </c>
      <c r="J66" s="16" t="str">
        <f aca="false">IF(H66="","",ROUND(H66*I66,2))</f>
        <v/>
      </c>
      <c r="K66" s="6"/>
    </row>
    <row r="67" customFormat="false" ht="15" hidden="false" customHeight="false" outlineLevel="0" collapsed="false">
      <c r="A67" s="13"/>
      <c r="B67" s="6"/>
      <c r="C67" s="6"/>
      <c r="D67" s="6"/>
      <c r="E67" s="6"/>
      <c r="F67" s="6"/>
      <c r="G67" s="6"/>
      <c r="H67" s="17" t="str">
        <f aca="false">IF(F67="","",F67+G67)</f>
        <v/>
      </c>
      <c r="I67" s="20" t="n">
        <v>0.3</v>
      </c>
      <c r="J67" s="16" t="str">
        <f aca="false">IF(H67="","",ROUND(H67*I67,2))</f>
        <v/>
      </c>
      <c r="K67" s="6"/>
    </row>
    <row r="68" customFormat="false" ht="15" hidden="false" customHeight="false" outlineLevel="0" collapsed="false">
      <c r="A68" s="13"/>
      <c r="B68" s="6"/>
      <c r="C68" s="6"/>
      <c r="D68" s="6"/>
      <c r="E68" s="6"/>
      <c r="F68" s="6"/>
      <c r="G68" s="6"/>
      <c r="H68" s="17" t="str">
        <f aca="false">IF(F68="","",F68+G68)</f>
        <v/>
      </c>
      <c r="I68" s="20" t="n">
        <v>0.3</v>
      </c>
      <c r="J68" s="16" t="str">
        <f aca="false">IF(H68="","",ROUND(H68*I68,2))</f>
        <v/>
      </c>
      <c r="K68" s="6"/>
    </row>
    <row r="69" customFormat="false" ht="15" hidden="false" customHeight="false" outlineLevel="0" collapsed="false">
      <c r="A69" s="13"/>
      <c r="B69" s="6"/>
      <c r="C69" s="6"/>
      <c r="D69" s="6"/>
      <c r="E69" s="6"/>
      <c r="F69" s="6"/>
      <c r="G69" s="6"/>
      <c r="H69" s="17" t="str">
        <f aca="false">IF(F69="","",F69+G69)</f>
        <v/>
      </c>
      <c r="I69" s="20" t="n">
        <v>0.3</v>
      </c>
      <c r="J69" s="16" t="str">
        <f aca="false">IF(H69="","",ROUND(H69*I69,2))</f>
        <v/>
      </c>
      <c r="K69" s="6"/>
    </row>
    <row r="70" customFormat="false" ht="15" hidden="false" customHeight="false" outlineLevel="0" collapsed="false">
      <c r="A70" s="13"/>
      <c r="B70" s="6"/>
      <c r="C70" s="6"/>
      <c r="D70" s="6"/>
      <c r="E70" s="6"/>
      <c r="F70" s="6"/>
      <c r="G70" s="6"/>
      <c r="H70" s="17" t="str">
        <f aca="false">IF(F70="","",F70+G70)</f>
        <v/>
      </c>
      <c r="I70" s="20" t="n">
        <v>0.3</v>
      </c>
      <c r="J70" s="16" t="str">
        <f aca="false">IF(H70="","",ROUND(H70*I70,2))</f>
        <v/>
      </c>
      <c r="K70" s="6"/>
    </row>
    <row r="71" customFormat="false" ht="15" hidden="false" customHeight="false" outlineLevel="0" collapsed="false">
      <c r="A71" s="13"/>
      <c r="B71" s="6"/>
      <c r="C71" s="6"/>
      <c r="D71" s="6"/>
      <c r="E71" s="6"/>
      <c r="F71" s="6"/>
      <c r="G71" s="6"/>
      <c r="H71" s="17" t="str">
        <f aca="false">IF(F71="","",F71+G71)</f>
        <v/>
      </c>
      <c r="I71" s="20" t="n">
        <v>0.3</v>
      </c>
      <c r="J71" s="16" t="str">
        <f aca="false">IF(H71="","",ROUND(H71*I71,2))</f>
        <v/>
      </c>
      <c r="K71" s="6"/>
    </row>
    <row r="72" customFormat="false" ht="15" hidden="false" customHeight="false" outlineLevel="0" collapsed="false">
      <c r="A72" s="13"/>
      <c r="B72" s="6"/>
      <c r="C72" s="6"/>
      <c r="D72" s="6"/>
      <c r="E72" s="6"/>
      <c r="F72" s="6"/>
      <c r="G72" s="6"/>
      <c r="H72" s="17" t="str">
        <f aca="false">IF(F72="","",F72+G72)</f>
        <v/>
      </c>
      <c r="I72" s="20" t="n">
        <v>0.3</v>
      </c>
      <c r="J72" s="16" t="str">
        <f aca="false">IF(H72="","",ROUND(H72*I72,2))</f>
        <v/>
      </c>
      <c r="K72" s="6"/>
    </row>
    <row r="73" customFormat="false" ht="15" hidden="false" customHeight="false" outlineLevel="0" collapsed="false">
      <c r="A73" s="13"/>
      <c r="B73" s="6"/>
      <c r="C73" s="6"/>
      <c r="D73" s="6"/>
      <c r="E73" s="6"/>
      <c r="F73" s="6"/>
      <c r="G73" s="6"/>
      <c r="H73" s="17" t="str">
        <f aca="false">IF(F73="","",F73+G73)</f>
        <v/>
      </c>
      <c r="I73" s="20" t="n">
        <v>0.3</v>
      </c>
      <c r="J73" s="16" t="str">
        <f aca="false">IF(H73="","",ROUND(H73*I73,2))</f>
        <v/>
      </c>
      <c r="K73" s="6"/>
    </row>
    <row r="74" customFormat="false" ht="15" hidden="false" customHeight="false" outlineLevel="0" collapsed="false">
      <c r="A74" s="13"/>
      <c r="B74" s="6"/>
      <c r="C74" s="6"/>
      <c r="D74" s="6"/>
      <c r="E74" s="6"/>
      <c r="F74" s="6"/>
      <c r="G74" s="6"/>
      <c r="H74" s="17" t="str">
        <f aca="false">IF(F74="","",F74+G74)</f>
        <v/>
      </c>
      <c r="I74" s="20" t="n">
        <v>0.3</v>
      </c>
      <c r="J74" s="16" t="str">
        <f aca="false">IF(H74="","",ROUND(H74*I74,2))</f>
        <v/>
      </c>
      <c r="K74" s="6"/>
    </row>
    <row r="75" customFormat="false" ht="15" hidden="false" customHeight="false" outlineLevel="0" collapsed="false">
      <c r="A75" s="13"/>
      <c r="B75" s="6"/>
      <c r="C75" s="6"/>
      <c r="D75" s="6"/>
      <c r="E75" s="6"/>
      <c r="F75" s="6"/>
      <c r="G75" s="6"/>
      <c r="H75" s="17" t="str">
        <f aca="false">IF(F75="","",F75+G75)</f>
        <v/>
      </c>
      <c r="I75" s="20" t="n">
        <v>0.3</v>
      </c>
      <c r="J75" s="16" t="str">
        <f aca="false">IF(H75="","",ROUND(H75*I75,2))</f>
        <v/>
      </c>
      <c r="K75" s="6"/>
    </row>
    <row r="76" customFormat="false" ht="15" hidden="false" customHeight="false" outlineLevel="0" collapsed="false">
      <c r="A76" s="13"/>
      <c r="B76" s="6"/>
      <c r="C76" s="6"/>
      <c r="D76" s="6"/>
      <c r="E76" s="6"/>
      <c r="F76" s="6"/>
      <c r="G76" s="6"/>
      <c r="H76" s="17" t="str">
        <f aca="false">IF(F76="","",F76+G76)</f>
        <v/>
      </c>
      <c r="I76" s="20" t="n">
        <v>0.3</v>
      </c>
      <c r="J76" s="16" t="str">
        <f aca="false">IF(H76="","",ROUND(H76*I76,2))</f>
        <v/>
      </c>
      <c r="K76" s="6"/>
    </row>
    <row r="77" customFormat="false" ht="15" hidden="false" customHeight="false" outlineLevel="0" collapsed="false">
      <c r="A77" s="13"/>
      <c r="B77" s="6"/>
      <c r="C77" s="6"/>
      <c r="D77" s="6"/>
      <c r="E77" s="6"/>
      <c r="F77" s="6"/>
      <c r="G77" s="6"/>
      <c r="H77" s="17" t="str">
        <f aca="false">IF(F77="","",F77+G77)</f>
        <v/>
      </c>
      <c r="I77" s="20" t="n">
        <v>0.3</v>
      </c>
      <c r="J77" s="16" t="str">
        <f aca="false">IF(H77="","",ROUND(H77*I77,2))</f>
        <v/>
      </c>
      <c r="K77" s="6"/>
    </row>
    <row r="78" customFormat="false" ht="15" hidden="false" customHeight="false" outlineLevel="0" collapsed="false">
      <c r="A78" s="13"/>
      <c r="B78" s="6"/>
      <c r="C78" s="6"/>
      <c r="D78" s="6"/>
      <c r="E78" s="6"/>
      <c r="F78" s="6"/>
      <c r="G78" s="6"/>
      <c r="H78" s="17" t="str">
        <f aca="false">IF(F78="","",F78+G78)</f>
        <v/>
      </c>
      <c r="I78" s="20" t="n">
        <v>0.3</v>
      </c>
      <c r="J78" s="16" t="str">
        <f aca="false">IF(H78="","",ROUND(H78*I78,2))</f>
        <v/>
      </c>
      <c r="K78" s="6"/>
    </row>
    <row r="79" customFormat="false" ht="15" hidden="false" customHeight="false" outlineLevel="0" collapsed="false">
      <c r="A79" s="13"/>
      <c r="B79" s="6"/>
      <c r="C79" s="6"/>
      <c r="D79" s="6"/>
      <c r="E79" s="6"/>
      <c r="F79" s="6"/>
      <c r="G79" s="6"/>
      <c r="H79" s="17" t="str">
        <f aca="false">IF(F79="","",F79+G79)</f>
        <v/>
      </c>
      <c r="I79" s="20" t="n">
        <v>0.3</v>
      </c>
      <c r="J79" s="16" t="str">
        <f aca="false">IF(H79="","",ROUND(H79*I79,2))</f>
        <v/>
      </c>
      <c r="K79" s="6"/>
    </row>
    <row r="80" customFormat="false" ht="15" hidden="false" customHeight="false" outlineLevel="0" collapsed="false">
      <c r="A80" s="13"/>
      <c r="B80" s="6"/>
      <c r="C80" s="6"/>
      <c r="D80" s="6"/>
      <c r="E80" s="6"/>
      <c r="F80" s="6"/>
      <c r="G80" s="6"/>
      <c r="H80" s="17" t="str">
        <f aca="false">IF(F80="","",F80+G80)</f>
        <v/>
      </c>
      <c r="I80" s="20" t="n">
        <v>0.3</v>
      </c>
      <c r="J80" s="16" t="str">
        <f aca="false">IF(H80="","",ROUND(H80*I80,2))</f>
        <v/>
      </c>
      <c r="K80" s="6"/>
    </row>
    <row r="81" customFormat="false" ht="15" hidden="false" customHeight="false" outlineLevel="0" collapsed="false">
      <c r="A81" s="13"/>
      <c r="B81" s="6"/>
      <c r="C81" s="6"/>
      <c r="D81" s="6"/>
      <c r="E81" s="6"/>
      <c r="F81" s="6"/>
      <c r="G81" s="6"/>
      <c r="H81" s="17" t="str">
        <f aca="false">IF(F81="","",F81+G81)</f>
        <v/>
      </c>
      <c r="I81" s="20" t="n">
        <v>0.3</v>
      </c>
      <c r="J81" s="16" t="str">
        <f aca="false">IF(H81="","",ROUND(H81*I81,2))</f>
        <v/>
      </c>
      <c r="K81" s="6"/>
    </row>
    <row r="82" customFormat="false" ht="15" hidden="false" customHeight="false" outlineLevel="0" collapsed="false">
      <c r="A82" s="13"/>
      <c r="B82" s="6"/>
      <c r="C82" s="6"/>
      <c r="D82" s="6"/>
      <c r="E82" s="6"/>
      <c r="F82" s="6"/>
      <c r="G82" s="6"/>
      <c r="H82" s="17" t="str">
        <f aca="false">IF(F82="","",F82+G82)</f>
        <v/>
      </c>
      <c r="I82" s="20" t="n">
        <v>0.3</v>
      </c>
      <c r="J82" s="16" t="str">
        <f aca="false">IF(H82="","",ROUND(H82*I82,2))</f>
        <v/>
      </c>
      <c r="K82" s="6"/>
    </row>
    <row r="83" customFormat="false" ht="15" hidden="false" customHeight="false" outlineLevel="0" collapsed="false">
      <c r="A83" s="13"/>
      <c r="B83" s="6"/>
      <c r="C83" s="6"/>
      <c r="D83" s="6"/>
      <c r="E83" s="6"/>
      <c r="F83" s="6"/>
      <c r="G83" s="6"/>
      <c r="H83" s="17" t="str">
        <f aca="false">IF(F83="","",F83+G83)</f>
        <v/>
      </c>
      <c r="I83" s="20" t="n">
        <v>0.3</v>
      </c>
      <c r="J83" s="16" t="str">
        <f aca="false">IF(H83="","",ROUND(H83*I83,2))</f>
        <v/>
      </c>
      <c r="K83" s="6"/>
    </row>
    <row r="84" customFormat="false" ht="15" hidden="false" customHeight="false" outlineLevel="0" collapsed="false">
      <c r="A84" s="13"/>
      <c r="B84" s="6"/>
      <c r="C84" s="6"/>
      <c r="D84" s="6"/>
      <c r="E84" s="6"/>
      <c r="F84" s="6"/>
      <c r="G84" s="6"/>
      <c r="H84" s="17" t="str">
        <f aca="false">IF(F84="","",F84+G84)</f>
        <v/>
      </c>
      <c r="I84" s="20" t="n">
        <v>0.3</v>
      </c>
      <c r="J84" s="16" t="str">
        <f aca="false">IF(H84="","",ROUND(H84*I84,2))</f>
        <v/>
      </c>
      <c r="K84" s="6"/>
    </row>
    <row r="85" customFormat="false" ht="15" hidden="false" customHeight="false" outlineLevel="0" collapsed="false">
      <c r="A85" s="13"/>
      <c r="B85" s="6"/>
      <c r="C85" s="6"/>
      <c r="D85" s="6"/>
      <c r="E85" s="6"/>
      <c r="F85" s="6"/>
      <c r="G85" s="6"/>
      <c r="H85" s="17" t="str">
        <f aca="false">IF(F85="","",F85+G85)</f>
        <v/>
      </c>
      <c r="I85" s="20" t="n">
        <v>0.3</v>
      </c>
      <c r="J85" s="16" t="str">
        <f aca="false">IF(H85="","",ROUND(H85*I85,2))</f>
        <v/>
      </c>
      <c r="K85" s="6"/>
    </row>
    <row r="86" customFormat="false" ht="15" hidden="false" customHeight="false" outlineLevel="0" collapsed="false">
      <c r="A86" s="13"/>
      <c r="B86" s="6"/>
      <c r="C86" s="6"/>
      <c r="D86" s="6"/>
      <c r="E86" s="6"/>
      <c r="F86" s="6"/>
      <c r="G86" s="6"/>
      <c r="H86" s="17" t="str">
        <f aca="false">IF(F86="","",F86+G86)</f>
        <v/>
      </c>
      <c r="I86" s="20" t="n">
        <v>0.3</v>
      </c>
      <c r="J86" s="16" t="str">
        <f aca="false">IF(H86="","",ROUND(H86*I86,2))</f>
        <v/>
      </c>
      <c r="K86" s="6"/>
    </row>
    <row r="87" customFormat="false" ht="15" hidden="false" customHeight="false" outlineLevel="0" collapsed="false">
      <c r="A87" s="13"/>
      <c r="B87" s="6"/>
      <c r="C87" s="6"/>
      <c r="D87" s="6"/>
      <c r="E87" s="6"/>
      <c r="F87" s="6"/>
      <c r="G87" s="6"/>
      <c r="H87" s="17" t="str">
        <f aca="false">IF(F87="","",F87+G87)</f>
        <v/>
      </c>
      <c r="I87" s="20" t="n">
        <v>0.3</v>
      </c>
      <c r="J87" s="16" t="str">
        <f aca="false">IF(H87="","",ROUND(H87*I87,2))</f>
        <v/>
      </c>
      <c r="K87" s="6"/>
    </row>
    <row r="88" customFormat="false" ht="15" hidden="false" customHeight="false" outlineLevel="0" collapsed="false">
      <c r="A88" s="13"/>
      <c r="B88" s="6"/>
      <c r="C88" s="6"/>
      <c r="D88" s="6"/>
      <c r="E88" s="6"/>
      <c r="F88" s="6"/>
      <c r="G88" s="6"/>
      <c r="H88" s="17" t="str">
        <f aca="false">IF(F88="","",F88+G88)</f>
        <v/>
      </c>
      <c r="I88" s="20" t="n">
        <v>0.3</v>
      </c>
      <c r="J88" s="16" t="str">
        <f aca="false">IF(H88="","",ROUND(H88*I88,2))</f>
        <v/>
      </c>
      <c r="K88" s="6"/>
    </row>
    <row r="89" customFormat="false" ht="15" hidden="false" customHeight="false" outlineLevel="0" collapsed="false">
      <c r="A89" s="13"/>
      <c r="B89" s="6"/>
      <c r="C89" s="6"/>
      <c r="D89" s="6"/>
      <c r="E89" s="6"/>
      <c r="F89" s="6"/>
      <c r="G89" s="6"/>
      <c r="H89" s="17" t="str">
        <f aca="false">IF(F89="","",F89+G89)</f>
        <v/>
      </c>
      <c r="I89" s="20" t="n">
        <v>0.3</v>
      </c>
      <c r="J89" s="16" t="str">
        <f aca="false">IF(H89="","",ROUND(H89*I89,2))</f>
        <v/>
      </c>
      <c r="K89" s="6"/>
    </row>
    <row r="90" customFormat="false" ht="15" hidden="false" customHeight="false" outlineLevel="0" collapsed="false">
      <c r="A90" s="13"/>
      <c r="B90" s="6"/>
      <c r="C90" s="6"/>
      <c r="D90" s="6"/>
      <c r="E90" s="6"/>
      <c r="F90" s="6"/>
      <c r="G90" s="6"/>
      <c r="H90" s="17" t="str">
        <f aca="false">IF(F90="","",F90+G90)</f>
        <v/>
      </c>
      <c r="I90" s="20" t="n">
        <v>0.3</v>
      </c>
      <c r="J90" s="16" t="str">
        <f aca="false">IF(H90="","",ROUND(H90*I90,2))</f>
        <v/>
      </c>
      <c r="K90" s="6"/>
    </row>
    <row r="91" customFormat="false" ht="15" hidden="false" customHeight="false" outlineLevel="0" collapsed="false">
      <c r="A91" s="13"/>
      <c r="B91" s="6"/>
      <c r="C91" s="6"/>
      <c r="D91" s="6"/>
      <c r="E91" s="6"/>
      <c r="F91" s="6"/>
      <c r="G91" s="6"/>
      <c r="H91" s="17" t="str">
        <f aca="false">IF(F91="","",F91+G91)</f>
        <v/>
      </c>
      <c r="I91" s="20" t="n">
        <v>0.3</v>
      </c>
      <c r="J91" s="16" t="str">
        <f aca="false">IF(H91="","",ROUND(H91*I91,2))</f>
        <v/>
      </c>
      <c r="K91" s="6"/>
    </row>
    <row r="92" customFormat="false" ht="15" hidden="false" customHeight="false" outlineLevel="0" collapsed="false">
      <c r="A92" s="13"/>
      <c r="B92" s="6"/>
      <c r="C92" s="6"/>
      <c r="D92" s="6"/>
      <c r="E92" s="6"/>
      <c r="F92" s="6"/>
      <c r="G92" s="6"/>
      <c r="H92" s="17" t="str">
        <f aca="false">IF(F92="","",F92+G92)</f>
        <v/>
      </c>
      <c r="I92" s="20" t="n">
        <v>0.3</v>
      </c>
      <c r="J92" s="16" t="str">
        <f aca="false">IF(H92="","",ROUND(H92*I92,2))</f>
        <v/>
      </c>
      <c r="K92" s="6"/>
    </row>
    <row r="93" customFormat="false" ht="15" hidden="false" customHeight="false" outlineLevel="0" collapsed="false">
      <c r="A93" s="13"/>
      <c r="B93" s="6"/>
      <c r="C93" s="6"/>
      <c r="D93" s="6"/>
      <c r="E93" s="6"/>
      <c r="F93" s="6"/>
      <c r="G93" s="6"/>
      <c r="H93" s="17" t="str">
        <f aca="false">IF(F93="","",F93+G93)</f>
        <v/>
      </c>
      <c r="I93" s="20" t="n">
        <v>0.3</v>
      </c>
      <c r="J93" s="16" t="str">
        <f aca="false">IF(H93="","",ROUND(H93*I93,2))</f>
        <v/>
      </c>
      <c r="K93" s="6"/>
    </row>
    <row r="94" customFormat="false" ht="15" hidden="false" customHeight="false" outlineLevel="0" collapsed="false">
      <c r="A94" s="13"/>
      <c r="B94" s="6"/>
      <c r="C94" s="6"/>
      <c r="D94" s="6"/>
      <c r="E94" s="6"/>
      <c r="F94" s="6"/>
      <c r="G94" s="6"/>
      <c r="H94" s="17" t="str">
        <f aca="false">IF(F94="","",F94+G94)</f>
        <v/>
      </c>
      <c r="I94" s="20" t="n">
        <v>0.3</v>
      </c>
      <c r="J94" s="16" t="str">
        <f aca="false">IF(H94="","",ROUND(H94*I94,2))</f>
        <v/>
      </c>
      <c r="K94" s="6"/>
    </row>
    <row r="95" customFormat="false" ht="15" hidden="false" customHeight="false" outlineLevel="0" collapsed="false">
      <c r="A95" s="13"/>
      <c r="B95" s="6"/>
      <c r="C95" s="6"/>
      <c r="D95" s="6"/>
      <c r="E95" s="6"/>
      <c r="F95" s="6"/>
      <c r="G95" s="6"/>
      <c r="H95" s="17" t="str">
        <f aca="false">IF(F95="","",F95+G95)</f>
        <v/>
      </c>
      <c r="I95" s="20" t="n">
        <v>0.3</v>
      </c>
      <c r="J95" s="16" t="str">
        <f aca="false">IF(H95="","",ROUND(H95*I95,2))</f>
        <v/>
      </c>
      <c r="K95" s="6"/>
    </row>
    <row r="96" customFormat="false" ht="15" hidden="false" customHeight="false" outlineLevel="0" collapsed="false">
      <c r="A96" s="13"/>
      <c r="B96" s="6"/>
      <c r="C96" s="6"/>
      <c r="D96" s="6"/>
      <c r="E96" s="6"/>
      <c r="F96" s="6"/>
      <c r="G96" s="6"/>
      <c r="H96" s="17" t="str">
        <f aca="false">IF(F96="","",F96+G96)</f>
        <v/>
      </c>
      <c r="I96" s="20" t="n">
        <v>0.3</v>
      </c>
      <c r="J96" s="16" t="str">
        <f aca="false">IF(H96="","",ROUND(H96*I96,2))</f>
        <v/>
      </c>
      <c r="K96" s="6"/>
    </row>
    <row r="97" customFormat="false" ht="15" hidden="false" customHeight="false" outlineLevel="0" collapsed="false">
      <c r="A97" s="13"/>
      <c r="B97" s="6"/>
      <c r="C97" s="6"/>
      <c r="D97" s="6"/>
      <c r="E97" s="6"/>
      <c r="F97" s="6"/>
      <c r="G97" s="6"/>
      <c r="H97" s="17" t="str">
        <f aca="false">IF(F97="","",F97+G97)</f>
        <v/>
      </c>
      <c r="I97" s="20" t="n">
        <v>0.3</v>
      </c>
      <c r="J97" s="16" t="str">
        <f aca="false">IF(H97="","",ROUND(H97*I97,2))</f>
        <v/>
      </c>
      <c r="K97" s="6"/>
    </row>
    <row r="98" customFormat="false" ht="15" hidden="false" customHeight="false" outlineLevel="0" collapsed="false">
      <c r="A98" s="13"/>
      <c r="B98" s="6"/>
      <c r="C98" s="6"/>
      <c r="D98" s="6"/>
      <c r="E98" s="6"/>
      <c r="F98" s="6"/>
      <c r="G98" s="6"/>
      <c r="H98" s="17" t="str">
        <f aca="false">IF(F98="","",F98+G98)</f>
        <v/>
      </c>
      <c r="I98" s="20" t="n">
        <v>0.3</v>
      </c>
      <c r="J98" s="16" t="str">
        <f aca="false">IF(H98="","",ROUND(H98*I98,2))</f>
        <v/>
      </c>
      <c r="K98" s="6"/>
    </row>
    <row r="99" customFormat="false" ht="15" hidden="false" customHeight="false" outlineLevel="0" collapsed="false">
      <c r="A99" s="13"/>
      <c r="B99" s="6"/>
      <c r="C99" s="6"/>
      <c r="D99" s="6"/>
      <c r="E99" s="6"/>
      <c r="F99" s="6"/>
      <c r="G99" s="6"/>
      <c r="H99" s="17" t="str">
        <f aca="false">IF(F99="","",F99+G99)</f>
        <v/>
      </c>
      <c r="I99" s="20" t="n">
        <v>0.3</v>
      </c>
      <c r="J99" s="16" t="str">
        <f aca="false">IF(H99="","",ROUND(H99*I99,2))</f>
        <v/>
      </c>
      <c r="K99" s="6"/>
    </row>
    <row r="100" customFormat="false" ht="15" hidden="false" customHeight="false" outlineLevel="0" collapsed="false">
      <c r="A100" s="13"/>
      <c r="B100" s="6"/>
      <c r="C100" s="6"/>
      <c r="D100" s="6"/>
      <c r="E100" s="6"/>
      <c r="F100" s="6"/>
      <c r="G100" s="6"/>
      <c r="H100" s="17" t="str">
        <f aca="false">IF(F100="","",F100+G100)</f>
        <v/>
      </c>
      <c r="I100" s="20" t="n">
        <v>0.3</v>
      </c>
      <c r="J100" s="16" t="str">
        <f aca="false">IF(H100="","",ROUND(H100*I100,2))</f>
        <v/>
      </c>
      <c r="K100" s="6"/>
    </row>
    <row r="101" customFormat="false" ht="15" hidden="false" customHeight="false" outlineLevel="0" collapsed="false">
      <c r="A101" s="13"/>
      <c r="B101" s="6"/>
      <c r="C101" s="6"/>
      <c r="D101" s="6"/>
      <c r="E101" s="6"/>
      <c r="F101" s="6"/>
      <c r="G101" s="6"/>
      <c r="H101" s="17" t="str">
        <f aca="false">IF(F101="","",F101+G101)</f>
        <v/>
      </c>
      <c r="I101" s="20" t="n">
        <v>0.3</v>
      </c>
      <c r="J101" s="16" t="str">
        <f aca="false">IF(H101="","",ROUND(H101*I101,2))</f>
        <v/>
      </c>
      <c r="K101" s="6"/>
    </row>
    <row r="102" customFormat="false" ht="15" hidden="false" customHeight="false" outlineLevel="0" collapsed="false">
      <c r="A102" s="13"/>
      <c r="B102" s="6"/>
      <c r="C102" s="6"/>
      <c r="D102" s="6"/>
      <c r="E102" s="6"/>
      <c r="F102" s="6"/>
      <c r="G102" s="6"/>
      <c r="H102" s="17" t="str">
        <f aca="false">IF(F102="","",F102+G102)</f>
        <v/>
      </c>
      <c r="I102" s="20" t="n">
        <v>0.3</v>
      </c>
      <c r="J102" s="16" t="str">
        <f aca="false">IF(H102="","",ROUND(H102*I102,2))</f>
        <v/>
      </c>
      <c r="K102" s="6"/>
    </row>
    <row r="103" customFormat="false" ht="15" hidden="false" customHeight="false" outlineLevel="0" collapsed="false">
      <c r="A103" s="13"/>
      <c r="B103" s="6"/>
      <c r="C103" s="6"/>
      <c r="D103" s="6"/>
      <c r="E103" s="6"/>
      <c r="F103" s="6"/>
      <c r="G103" s="6"/>
      <c r="H103" s="17" t="str">
        <f aca="false">IF(F103="","",F103+G103)</f>
        <v/>
      </c>
      <c r="I103" s="20" t="n">
        <v>0.3</v>
      </c>
      <c r="J103" s="16" t="str">
        <f aca="false">IF(H103="","",ROUND(H103*I103,2))</f>
        <v/>
      </c>
      <c r="K103" s="6"/>
    </row>
    <row r="104" customFormat="false" ht="15" hidden="false" customHeight="false" outlineLevel="0" collapsed="false">
      <c r="A104" s="13"/>
      <c r="B104" s="6"/>
      <c r="C104" s="6"/>
      <c r="D104" s="6"/>
      <c r="E104" s="6"/>
      <c r="F104" s="6"/>
      <c r="G104" s="6"/>
      <c r="H104" s="17" t="str">
        <f aca="false">IF(F104="","",F104+G104)</f>
        <v/>
      </c>
      <c r="I104" s="20" t="n">
        <v>0.3</v>
      </c>
      <c r="J104" s="16" t="str">
        <f aca="false">IF(H104="","",ROUND(H104*I104,2))</f>
        <v/>
      </c>
      <c r="K104" s="6"/>
    </row>
    <row r="105" customFormat="false" ht="15" hidden="false" customHeight="false" outlineLevel="0" collapsed="false">
      <c r="A105" s="13"/>
      <c r="B105" s="6"/>
      <c r="C105" s="6"/>
      <c r="D105" s="6"/>
      <c r="E105" s="6"/>
      <c r="F105" s="6"/>
      <c r="G105" s="6"/>
      <c r="H105" s="17" t="str">
        <f aca="false">IF(F105="","",F105+G105)</f>
        <v/>
      </c>
      <c r="I105" s="20" t="n">
        <v>0.3</v>
      </c>
      <c r="J105" s="16" t="str">
        <f aca="false">IF(H105="","",ROUND(H105*I105,2))</f>
        <v/>
      </c>
      <c r="K105" s="6"/>
    </row>
    <row r="106" customFormat="false" ht="15" hidden="false" customHeight="false" outlineLevel="0" collapsed="false">
      <c r="A106" s="13"/>
      <c r="B106" s="6"/>
      <c r="C106" s="6"/>
      <c r="D106" s="6"/>
      <c r="E106" s="6"/>
      <c r="F106" s="6"/>
      <c r="G106" s="6"/>
      <c r="H106" s="17" t="str">
        <f aca="false">IF(F106="","",F106+G106)</f>
        <v/>
      </c>
      <c r="I106" s="20" t="n">
        <v>0.3</v>
      </c>
      <c r="J106" s="16" t="str">
        <f aca="false">IF(H106="","",ROUND(H106*I106,2))</f>
        <v/>
      </c>
      <c r="K106" s="6"/>
    </row>
    <row r="107" customFormat="false" ht="15" hidden="false" customHeight="false" outlineLevel="0" collapsed="false">
      <c r="A107" s="13"/>
      <c r="B107" s="6"/>
      <c r="C107" s="6"/>
      <c r="D107" s="6"/>
      <c r="E107" s="6"/>
      <c r="F107" s="6"/>
      <c r="G107" s="6"/>
      <c r="H107" s="17" t="str">
        <f aca="false">IF(F107="","",F107+G107)</f>
        <v/>
      </c>
      <c r="I107" s="20" t="n">
        <v>0.3</v>
      </c>
      <c r="J107" s="16" t="str">
        <f aca="false">IF(H107="","",ROUND(H107*I107,2))</f>
        <v/>
      </c>
      <c r="K107" s="6"/>
    </row>
    <row r="108" customFormat="false" ht="15" hidden="false" customHeight="false" outlineLevel="0" collapsed="false">
      <c r="A108" s="13"/>
      <c r="B108" s="6"/>
      <c r="C108" s="6"/>
      <c r="D108" s="6"/>
      <c r="E108" s="6"/>
      <c r="F108" s="6"/>
      <c r="G108" s="6"/>
      <c r="H108" s="17" t="str">
        <f aca="false">IF(F108="","",F108+G108)</f>
        <v/>
      </c>
      <c r="I108" s="20" t="n">
        <v>0.3</v>
      </c>
      <c r="J108" s="16" t="str">
        <f aca="false">IF(H108="","",ROUND(H108*I108,2))</f>
        <v/>
      </c>
      <c r="K108" s="6"/>
    </row>
    <row r="109" customFormat="false" ht="15" hidden="false" customHeight="false" outlineLevel="0" collapsed="false">
      <c r="A109" s="13"/>
      <c r="B109" s="6"/>
      <c r="C109" s="6"/>
      <c r="D109" s="6"/>
      <c r="E109" s="6"/>
      <c r="F109" s="6"/>
      <c r="G109" s="6"/>
      <c r="H109" s="17" t="str">
        <f aca="false">IF(F109="","",F109+G109)</f>
        <v/>
      </c>
      <c r="I109" s="20" t="n">
        <v>0.3</v>
      </c>
      <c r="J109" s="16" t="str">
        <f aca="false">IF(H109="","",ROUND(H109*I109,2))</f>
        <v/>
      </c>
      <c r="K109" s="6"/>
    </row>
    <row r="110" customFormat="false" ht="15" hidden="false" customHeight="false" outlineLevel="0" collapsed="false">
      <c r="A110" s="13"/>
      <c r="B110" s="6"/>
      <c r="C110" s="6"/>
      <c r="D110" s="6"/>
      <c r="E110" s="6"/>
      <c r="F110" s="6"/>
      <c r="G110" s="6"/>
      <c r="H110" s="17" t="str">
        <f aca="false">IF(F110="","",F110+G110)</f>
        <v/>
      </c>
      <c r="I110" s="20" t="n">
        <v>0.3</v>
      </c>
      <c r="J110" s="16" t="str">
        <f aca="false">IF(H110="","",ROUND(H110*I110,2))</f>
        <v/>
      </c>
      <c r="K110" s="6"/>
    </row>
    <row r="111" customFormat="false" ht="15" hidden="false" customHeight="false" outlineLevel="0" collapsed="false">
      <c r="A111" s="13"/>
      <c r="B111" s="6"/>
      <c r="C111" s="6"/>
      <c r="D111" s="6"/>
      <c r="E111" s="6"/>
      <c r="F111" s="6"/>
      <c r="G111" s="6"/>
      <c r="H111" s="17" t="str">
        <f aca="false">IF(F111="","",F111+G111)</f>
        <v/>
      </c>
      <c r="I111" s="20" t="n">
        <v>0.3</v>
      </c>
      <c r="J111" s="16" t="str">
        <f aca="false">IF(H111="","",ROUND(H111*I111,2))</f>
        <v/>
      </c>
      <c r="K111" s="6"/>
    </row>
    <row r="112" customFormat="false" ht="15" hidden="false" customHeight="false" outlineLevel="0" collapsed="false">
      <c r="A112" s="13"/>
      <c r="B112" s="6"/>
      <c r="C112" s="6"/>
      <c r="D112" s="6"/>
      <c r="E112" s="6"/>
      <c r="F112" s="6"/>
      <c r="G112" s="6"/>
      <c r="H112" s="17" t="str">
        <f aca="false">IF(F112="","",F112+G112)</f>
        <v/>
      </c>
      <c r="I112" s="20" t="n">
        <v>0.3</v>
      </c>
      <c r="J112" s="16" t="str">
        <f aca="false">IF(H112="","",ROUND(H112*I112,2))</f>
        <v/>
      </c>
      <c r="K112" s="6"/>
    </row>
    <row r="113" customFormat="false" ht="15" hidden="false" customHeight="false" outlineLevel="0" collapsed="false">
      <c r="A113" s="13"/>
      <c r="B113" s="6"/>
      <c r="C113" s="6"/>
      <c r="D113" s="6"/>
      <c r="E113" s="6"/>
      <c r="F113" s="6"/>
      <c r="G113" s="6"/>
      <c r="H113" s="17" t="str">
        <f aca="false">IF(F113="","",F113+G113)</f>
        <v/>
      </c>
      <c r="I113" s="20" t="n">
        <v>0.3</v>
      </c>
      <c r="J113" s="16" t="str">
        <f aca="false">IF(H113="","",ROUND(H113*I113,2))</f>
        <v/>
      </c>
      <c r="K113" s="6"/>
    </row>
    <row r="114" customFormat="false" ht="15" hidden="false" customHeight="false" outlineLevel="0" collapsed="false">
      <c r="A114" s="13"/>
      <c r="B114" s="6"/>
      <c r="C114" s="6"/>
      <c r="D114" s="6"/>
      <c r="E114" s="6"/>
      <c r="F114" s="6"/>
      <c r="G114" s="6"/>
      <c r="H114" s="17" t="str">
        <f aca="false">IF(F114="","",F114+G114)</f>
        <v/>
      </c>
      <c r="I114" s="20" t="n">
        <v>0.3</v>
      </c>
      <c r="J114" s="16" t="str">
        <f aca="false">IF(H114="","",ROUND(H114*I114,2))</f>
        <v/>
      </c>
      <c r="K114" s="6"/>
    </row>
    <row r="115" customFormat="false" ht="15" hidden="false" customHeight="false" outlineLevel="0" collapsed="false">
      <c r="A115" s="13"/>
      <c r="B115" s="6"/>
      <c r="C115" s="6"/>
      <c r="D115" s="6"/>
      <c r="E115" s="6"/>
      <c r="F115" s="6"/>
      <c r="G115" s="6"/>
      <c r="H115" s="17" t="str">
        <f aca="false">IF(F115="","",F115+G115)</f>
        <v/>
      </c>
      <c r="I115" s="20" t="n">
        <v>0.3</v>
      </c>
      <c r="J115" s="16" t="str">
        <f aca="false">IF(H115="","",ROUND(H115*I115,2))</f>
        <v/>
      </c>
      <c r="K115" s="6"/>
    </row>
    <row r="116" customFormat="false" ht="15" hidden="false" customHeight="false" outlineLevel="0" collapsed="false">
      <c r="A116" s="13"/>
      <c r="B116" s="6"/>
      <c r="C116" s="6"/>
      <c r="D116" s="6"/>
      <c r="E116" s="6"/>
      <c r="F116" s="6"/>
      <c r="G116" s="6"/>
      <c r="H116" s="17" t="str">
        <f aca="false">IF(F116="","",F116+G116)</f>
        <v/>
      </c>
      <c r="I116" s="20" t="n">
        <v>0.3</v>
      </c>
      <c r="J116" s="16" t="str">
        <f aca="false">IF(H116="","",ROUND(H116*I116,2))</f>
        <v/>
      </c>
      <c r="K116" s="6"/>
    </row>
    <row r="117" customFormat="false" ht="15" hidden="false" customHeight="false" outlineLevel="0" collapsed="false">
      <c r="A117" s="13"/>
      <c r="B117" s="6"/>
      <c r="C117" s="6"/>
      <c r="D117" s="6"/>
      <c r="E117" s="6"/>
      <c r="F117" s="6"/>
      <c r="G117" s="6"/>
      <c r="H117" s="17" t="str">
        <f aca="false">IF(F117="","",F117+G117)</f>
        <v/>
      </c>
      <c r="I117" s="20" t="n">
        <v>0.3</v>
      </c>
      <c r="J117" s="16" t="str">
        <f aca="false">IF(H117="","",ROUND(H117*I117,2))</f>
        <v/>
      </c>
      <c r="K117" s="6"/>
    </row>
    <row r="118" customFormat="false" ht="15" hidden="false" customHeight="false" outlineLevel="0" collapsed="false">
      <c r="A118" s="13"/>
      <c r="B118" s="6"/>
      <c r="C118" s="6"/>
      <c r="D118" s="6"/>
      <c r="E118" s="6"/>
      <c r="F118" s="6"/>
      <c r="G118" s="6"/>
      <c r="H118" s="17" t="str">
        <f aca="false">IF(F118="","",F118+G118)</f>
        <v/>
      </c>
      <c r="I118" s="20" t="n">
        <v>0.3</v>
      </c>
      <c r="J118" s="16" t="str">
        <f aca="false">IF(H118="","",ROUND(H118*I118,2))</f>
        <v/>
      </c>
      <c r="K118" s="6"/>
    </row>
    <row r="119" customFormat="false" ht="15" hidden="false" customHeight="false" outlineLevel="0" collapsed="false">
      <c r="A119" s="13"/>
      <c r="B119" s="6"/>
      <c r="C119" s="6"/>
      <c r="D119" s="6"/>
      <c r="E119" s="6"/>
      <c r="F119" s="6"/>
      <c r="G119" s="6"/>
      <c r="H119" s="17" t="str">
        <f aca="false">IF(F119="","",F119+G119)</f>
        <v/>
      </c>
      <c r="I119" s="20" t="n">
        <v>0.3</v>
      </c>
      <c r="J119" s="16" t="str">
        <f aca="false">IF(H119="","",ROUND(H119*I119,2))</f>
        <v/>
      </c>
      <c r="K119" s="6"/>
    </row>
    <row r="120" customFormat="false" ht="15" hidden="false" customHeight="false" outlineLevel="0" collapsed="false">
      <c r="A120" s="13"/>
      <c r="B120" s="6"/>
      <c r="C120" s="6"/>
      <c r="D120" s="6"/>
      <c r="E120" s="6"/>
      <c r="F120" s="6"/>
      <c r="G120" s="6"/>
      <c r="H120" s="17" t="str">
        <f aca="false">IF(F120="","",F120+G120)</f>
        <v/>
      </c>
      <c r="I120" s="20" t="n">
        <v>0.3</v>
      </c>
      <c r="J120" s="16" t="str">
        <f aca="false">IF(H120="","",ROUND(H120*I120,2))</f>
        <v/>
      </c>
      <c r="K120" s="6"/>
    </row>
    <row r="121" customFormat="false" ht="15" hidden="false" customHeight="false" outlineLevel="0" collapsed="false">
      <c r="A121" s="13"/>
      <c r="B121" s="6"/>
      <c r="C121" s="6"/>
      <c r="D121" s="6"/>
      <c r="E121" s="6"/>
      <c r="F121" s="6"/>
      <c r="G121" s="6"/>
      <c r="H121" s="17" t="str">
        <f aca="false">IF(F121="","",F121+G121)</f>
        <v/>
      </c>
      <c r="I121" s="20" t="n">
        <v>0.3</v>
      </c>
      <c r="J121" s="16" t="str">
        <f aca="false">IF(H121="","",ROUND(H121*I121,2))</f>
        <v/>
      </c>
      <c r="K121" s="6"/>
    </row>
    <row r="122" customFormat="false" ht="15" hidden="false" customHeight="false" outlineLevel="0" collapsed="false">
      <c r="A122" s="13"/>
      <c r="B122" s="6"/>
      <c r="C122" s="6"/>
      <c r="D122" s="6"/>
      <c r="E122" s="6"/>
      <c r="F122" s="6"/>
      <c r="G122" s="6"/>
      <c r="H122" s="17" t="str">
        <f aca="false">IF(F122="","",F122+G122)</f>
        <v/>
      </c>
      <c r="I122" s="20" t="n">
        <v>0.3</v>
      </c>
      <c r="J122" s="16" t="str">
        <f aca="false">IF(H122="","",ROUND(H122*I122,2))</f>
        <v/>
      </c>
      <c r="K122" s="6"/>
    </row>
    <row r="123" customFormat="false" ht="15" hidden="false" customHeight="false" outlineLevel="0" collapsed="false">
      <c r="A123" s="13"/>
      <c r="B123" s="6"/>
      <c r="C123" s="6"/>
      <c r="D123" s="6"/>
      <c r="E123" s="6"/>
      <c r="F123" s="6"/>
      <c r="G123" s="6"/>
      <c r="H123" s="17" t="str">
        <f aca="false">IF(F123="","",F123+G123)</f>
        <v/>
      </c>
      <c r="I123" s="20" t="n">
        <v>0.3</v>
      </c>
      <c r="J123" s="16" t="str">
        <f aca="false">IF(H123="","",ROUND(H123*I123,2))</f>
        <v/>
      </c>
      <c r="K123" s="6"/>
    </row>
    <row r="124" customFormat="false" ht="15" hidden="false" customHeight="false" outlineLevel="0" collapsed="false">
      <c r="A124" s="13"/>
      <c r="B124" s="6"/>
      <c r="C124" s="6"/>
      <c r="D124" s="6"/>
      <c r="E124" s="6"/>
      <c r="F124" s="6"/>
      <c r="G124" s="6"/>
      <c r="H124" s="17" t="str">
        <f aca="false">IF(F124="","",F124+G124)</f>
        <v/>
      </c>
      <c r="I124" s="20" t="n">
        <v>0.3</v>
      </c>
      <c r="J124" s="16" t="str">
        <f aca="false">IF(H124="","",ROUND(H124*I124,2))</f>
        <v/>
      </c>
      <c r="K124" s="6"/>
    </row>
    <row r="125" customFormat="false" ht="15" hidden="false" customHeight="false" outlineLevel="0" collapsed="false">
      <c r="A125" s="13"/>
      <c r="B125" s="6"/>
      <c r="C125" s="6"/>
      <c r="D125" s="6"/>
      <c r="E125" s="6"/>
      <c r="F125" s="6"/>
      <c r="G125" s="6"/>
      <c r="H125" s="17" t="str">
        <f aca="false">IF(F125="","",F125+G125)</f>
        <v/>
      </c>
      <c r="I125" s="20" t="n">
        <v>0.3</v>
      </c>
      <c r="J125" s="16" t="str">
        <f aca="false">IF(H125="","",ROUND(H125*I125,2))</f>
        <v/>
      </c>
      <c r="K125" s="6"/>
    </row>
    <row r="126" customFormat="false" ht="15" hidden="false" customHeight="false" outlineLevel="0" collapsed="false">
      <c r="A126" s="13"/>
      <c r="B126" s="6"/>
      <c r="C126" s="6"/>
      <c r="D126" s="6"/>
      <c r="E126" s="6"/>
      <c r="F126" s="6"/>
      <c r="G126" s="6"/>
      <c r="H126" s="17" t="str">
        <f aca="false">IF(F126="","",F126+G126)</f>
        <v/>
      </c>
      <c r="I126" s="20" t="n">
        <v>0.3</v>
      </c>
      <c r="J126" s="16" t="str">
        <f aca="false">IF(H126="","",ROUND(H126*I126,2))</f>
        <v/>
      </c>
      <c r="K126" s="6"/>
    </row>
    <row r="127" customFormat="false" ht="15" hidden="false" customHeight="false" outlineLevel="0" collapsed="false">
      <c r="A127" s="13"/>
      <c r="B127" s="6"/>
      <c r="C127" s="6"/>
      <c r="D127" s="6"/>
      <c r="E127" s="6"/>
      <c r="F127" s="6"/>
      <c r="G127" s="6"/>
      <c r="H127" s="17" t="str">
        <f aca="false">IF(F127="","",F127+G127)</f>
        <v/>
      </c>
      <c r="I127" s="20" t="n">
        <v>0.3</v>
      </c>
      <c r="J127" s="16" t="str">
        <f aca="false">IF(H127="","",ROUND(H127*I127,2))</f>
        <v/>
      </c>
      <c r="K127" s="6"/>
    </row>
    <row r="128" customFormat="false" ht="15" hidden="false" customHeight="false" outlineLevel="0" collapsed="false">
      <c r="A128" s="13"/>
      <c r="B128" s="6"/>
      <c r="C128" s="6"/>
      <c r="D128" s="6"/>
      <c r="E128" s="6"/>
      <c r="F128" s="6"/>
      <c r="G128" s="6"/>
      <c r="H128" s="17" t="str">
        <f aca="false">IF(F128="","",F128+G128)</f>
        <v/>
      </c>
      <c r="I128" s="20" t="n">
        <v>0.3</v>
      </c>
      <c r="J128" s="16" t="str">
        <f aca="false">IF(H128="","",ROUND(H128*I128,2))</f>
        <v/>
      </c>
      <c r="K128" s="6"/>
    </row>
    <row r="129" customFormat="false" ht="15" hidden="false" customHeight="false" outlineLevel="0" collapsed="false">
      <c r="A129" s="13"/>
      <c r="B129" s="6"/>
      <c r="C129" s="6"/>
      <c r="D129" s="6"/>
      <c r="E129" s="6"/>
      <c r="F129" s="6"/>
      <c r="G129" s="6"/>
      <c r="H129" s="17" t="str">
        <f aca="false">IF(F129="","",F129+G129)</f>
        <v/>
      </c>
      <c r="I129" s="20" t="n">
        <v>0.3</v>
      </c>
      <c r="J129" s="16" t="str">
        <f aca="false">IF(H129="","",ROUND(H129*I129,2))</f>
        <v/>
      </c>
      <c r="K129" s="6"/>
    </row>
    <row r="130" customFormat="false" ht="15" hidden="false" customHeight="false" outlineLevel="0" collapsed="false">
      <c r="A130" s="13"/>
      <c r="B130" s="6"/>
      <c r="C130" s="6"/>
      <c r="D130" s="6"/>
      <c r="E130" s="6"/>
      <c r="F130" s="6"/>
      <c r="G130" s="6"/>
      <c r="H130" s="17" t="str">
        <f aca="false">IF(F130="","",F130+G130)</f>
        <v/>
      </c>
      <c r="I130" s="20" t="n">
        <v>0.3</v>
      </c>
      <c r="J130" s="16" t="str">
        <f aca="false">IF(H130="","",ROUND(H130*I130,2))</f>
        <v/>
      </c>
      <c r="K130" s="6"/>
    </row>
    <row r="131" customFormat="false" ht="15" hidden="false" customHeight="false" outlineLevel="0" collapsed="false">
      <c r="A131" s="13"/>
      <c r="B131" s="6"/>
      <c r="C131" s="6"/>
      <c r="D131" s="6"/>
      <c r="E131" s="6"/>
      <c r="F131" s="6"/>
      <c r="G131" s="6"/>
      <c r="H131" s="17" t="str">
        <f aca="false">IF(F131="","",F131+G131)</f>
        <v/>
      </c>
      <c r="I131" s="20" t="n">
        <v>0.3</v>
      </c>
      <c r="J131" s="16" t="str">
        <f aca="false">IF(H131="","",ROUND(H131*I131,2))</f>
        <v/>
      </c>
      <c r="K131" s="6"/>
    </row>
    <row r="132" customFormat="false" ht="15" hidden="false" customHeight="false" outlineLevel="0" collapsed="false">
      <c r="A132" s="13"/>
      <c r="B132" s="6"/>
      <c r="C132" s="6"/>
      <c r="D132" s="6"/>
      <c r="E132" s="6"/>
      <c r="F132" s="6"/>
      <c r="G132" s="6"/>
      <c r="H132" s="17" t="str">
        <f aca="false">IF(F132="","",F132+G132)</f>
        <v/>
      </c>
      <c r="I132" s="20" t="n">
        <v>0.3</v>
      </c>
      <c r="J132" s="16" t="str">
        <f aca="false">IF(H132="","",ROUND(H132*I132,2))</f>
        <v/>
      </c>
      <c r="K132" s="6"/>
    </row>
    <row r="133" customFormat="false" ht="15" hidden="false" customHeight="false" outlineLevel="0" collapsed="false">
      <c r="A133" s="13"/>
      <c r="B133" s="6"/>
      <c r="C133" s="6"/>
      <c r="D133" s="6"/>
      <c r="E133" s="6"/>
      <c r="F133" s="6"/>
      <c r="G133" s="6"/>
      <c r="H133" s="17" t="str">
        <f aca="false">IF(F133="","",F133+G133)</f>
        <v/>
      </c>
      <c r="I133" s="20" t="n">
        <v>0.3</v>
      </c>
      <c r="J133" s="16" t="str">
        <f aca="false">IF(H133="","",ROUND(H133*I133,2))</f>
        <v/>
      </c>
      <c r="K133" s="6"/>
    </row>
    <row r="134" customFormat="false" ht="15" hidden="false" customHeight="false" outlineLevel="0" collapsed="false">
      <c r="A134" s="13"/>
      <c r="B134" s="6"/>
      <c r="C134" s="6"/>
      <c r="D134" s="6"/>
      <c r="E134" s="6"/>
      <c r="F134" s="6"/>
      <c r="G134" s="6"/>
      <c r="H134" s="17" t="str">
        <f aca="false">IF(F134="","",F134+G134)</f>
        <v/>
      </c>
      <c r="I134" s="20" t="n">
        <v>0.3</v>
      </c>
      <c r="J134" s="16" t="str">
        <f aca="false">IF(H134="","",ROUND(H134*I134,2))</f>
        <v/>
      </c>
      <c r="K134" s="6"/>
    </row>
    <row r="135" customFormat="false" ht="15" hidden="false" customHeight="false" outlineLevel="0" collapsed="false">
      <c r="A135" s="13"/>
      <c r="B135" s="6"/>
      <c r="C135" s="6"/>
      <c r="D135" s="6"/>
      <c r="E135" s="6"/>
      <c r="F135" s="6"/>
      <c r="G135" s="6"/>
      <c r="H135" s="17" t="str">
        <f aca="false">IF(F135="","",F135+G135)</f>
        <v/>
      </c>
      <c r="I135" s="20" t="n">
        <v>0.3</v>
      </c>
      <c r="J135" s="16" t="str">
        <f aca="false">IF(H135="","",ROUND(H135*I135,2))</f>
        <v/>
      </c>
      <c r="K135" s="6"/>
    </row>
    <row r="136" customFormat="false" ht="15" hidden="false" customHeight="false" outlineLevel="0" collapsed="false">
      <c r="A136" s="13"/>
      <c r="B136" s="6"/>
      <c r="C136" s="6"/>
      <c r="D136" s="6"/>
      <c r="E136" s="6"/>
      <c r="F136" s="6"/>
      <c r="G136" s="6"/>
      <c r="H136" s="17" t="str">
        <f aca="false">IF(F136="","",F136+G136)</f>
        <v/>
      </c>
      <c r="I136" s="20" t="n">
        <v>0.3</v>
      </c>
      <c r="J136" s="16" t="str">
        <f aca="false">IF(H136="","",ROUND(H136*I136,2))</f>
        <v/>
      </c>
      <c r="K136" s="6"/>
    </row>
    <row r="137" customFormat="false" ht="15" hidden="false" customHeight="false" outlineLevel="0" collapsed="false">
      <c r="A137" s="13"/>
      <c r="B137" s="6"/>
      <c r="C137" s="6"/>
      <c r="D137" s="6"/>
      <c r="E137" s="6"/>
      <c r="F137" s="6"/>
      <c r="G137" s="6"/>
      <c r="H137" s="17" t="str">
        <f aca="false">IF(F137="","",F137+G137)</f>
        <v/>
      </c>
      <c r="I137" s="20" t="n">
        <v>0.3</v>
      </c>
      <c r="J137" s="16" t="str">
        <f aca="false">IF(H137="","",ROUND(H137*I137,2))</f>
        <v/>
      </c>
      <c r="K137" s="6"/>
    </row>
    <row r="138" customFormat="false" ht="15" hidden="false" customHeight="false" outlineLevel="0" collapsed="false">
      <c r="A138" s="13"/>
      <c r="B138" s="6"/>
      <c r="C138" s="6"/>
      <c r="D138" s="6"/>
      <c r="E138" s="6"/>
      <c r="F138" s="6"/>
      <c r="G138" s="6"/>
      <c r="H138" s="17" t="str">
        <f aca="false">IF(F138="","",F138+G138)</f>
        <v/>
      </c>
      <c r="I138" s="20" t="n">
        <v>0.3</v>
      </c>
      <c r="J138" s="16" t="str">
        <f aca="false">IF(H138="","",ROUND(H138*I138,2))</f>
        <v/>
      </c>
      <c r="K138" s="6"/>
    </row>
    <row r="139" customFormat="false" ht="15" hidden="false" customHeight="false" outlineLevel="0" collapsed="false">
      <c r="A139" s="13"/>
      <c r="B139" s="6"/>
      <c r="C139" s="6"/>
      <c r="D139" s="6"/>
      <c r="E139" s="6"/>
      <c r="F139" s="6"/>
      <c r="G139" s="6"/>
      <c r="H139" s="17" t="str">
        <f aca="false">IF(F139="","",F139+G139)</f>
        <v/>
      </c>
      <c r="I139" s="20" t="n">
        <v>0.3</v>
      </c>
      <c r="J139" s="16" t="str">
        <f aca="false">IF(H139="","",ROUND(H139*I139,2))</f>
        <v/>
      </c>
      <c r="K139" s="6"/>
    </row>
    <row r="140" customFormat="false" ht="15" hidden="false" customHeight="false" outlineLevel="0" collapsed="false">
      <c r="A140" s="13"/>
      <c r="B140" s="6"/>
      <c r="C140" s="6"/>
      <c r="D140" s="6"/>
      <c r="E140" s="6"/>
      <c r="F140" s="6"/>
      <c r="G140" s="6"/>
      <c r="H140" s="17" t="str">
        <f aca="false">IF(F140="","",F140+G140)</f>
        <v/>
      </c>
      <c r="I140" s="20" t="n">
        <v>0.3</v>
      </c>
      <c r="J140" s="16" t="str">
        <f aca="false">IF(H140="","",ROUND(H140*I140,2))</f>
        <v/>
      </c>
      <c r="K140" s="6"/>
    </row>
    <row r="141" customFormat="false" ht="15" hidden="false" customHeight="false" outlineLevel="0" collapsed="false">
      <c r="A141" s="13"/>
      <c r="B141" s="6"/>
      <c r="C141" s="6"/>
      <c r="D141" s="6"/>
      <c r="E141" s="6"/>
      <c r="F141" s="6"/>
      <c r="G141" s="6"/>
      <c r="H141" s="17" t="str">
        <f aca="false">IF(F141="","",F141+G141)</f>
        <v/>
      </c>
      <c r="I141" s="20" t="n">
        <v>0.3</v>
      </c>
      <c r="J141" s="16" t="str">
        <f aca="false">IF(H141="","",ROUND(H141*I141,2))</f>
        <v/>
      </c>
      <c r="K141" s="6"/>
    </row>
    <row r="142" customFormat="false" ht="15" hidden="false" customHeight="false" outlineLevel="0" collapsed="false">
      <c r="A142" s="13"/>
      <c r="B142" s="6"/>
      <c r="C142" s="6"/>
      <c r="D142" s="6"/>
      <c r="E142" s="6"/>
      <c r="F142" s="6"/>
      <c r="G142" s="6"/>
      <c r="H142" s="17" t="str">
        <f aca="false">IF(F142="","",F142+G142)</f>
        <v/>
      </c>
      <c r="I142" s="20" t="n">
        <v>0.3</v>
      </c>
      <c r="J142" s="16" t="str">
        <f aca="false">IF(H142="","",ROUND(H142*I142,2))</f>
        <v/>
      </c>
      <c r="K142" s="6"/>
    </row>
    <row r="143" customFormat="false" ht="15" hidden="false" customHeight="false" outlineLevel="0" collapsed="false">
      <c r="A143" s="13"/>
      <c r="B143" s="6"/>
      <c r="C143" s="6"/>
      <c r="D143" s="6"/>
      <c r="E143" s="6"/>
      <c r="F143" s="6"/>
      <c r="G143" s="6"/>
      <c r="H143" s="17" t="str">
        <f aca="false">IF(F143="","",F143+G143)</f>
        <v/>
      </c>
      <c r="I143" s="20" t="n">
        <v>0.3</v>
      </c>
      <c r="J143" s="16" t="str">
        <f aca="false">IF(H143="","",ROUND(H143*I143,2))</f>
        <v/>
      </c>
      <c r="K143" s="6"/>
    </row>
    <row r="144" customFormat="false" ht="15" hidden="false" customHeight="false" outlineLevel="0" collapsed="false">
      <c r="A144" s="13"/>
      <c r="B144" s="6"/>
      <c r="C144" s="6"/>
      <c r="D144" s="6"/>
      <c r="E144" s="6"/>
      <c r="F144" s="6"/>
      <c r="G144" s="6"/>
      <c r="H144" s="17" t="str">
        <f aca="false">IF(F144="","",F144+G144)</f>
        <v/>
      </c>
      <c r="I144" s="20" t="n">
        <v>0.3</v>
      </c>
      <c r="J144" s="16" t="str">
        <f aca="false">IF(H144="","",ROUND(H144*I144,2))</f>
        <v/>
      </c>
      <c r="K144" s="6"/>
    </row>
    <row r="145" customFormat="false" ht="15" hidden="false" customHeight="false" outlineLevel="0" collapsed="false">
      <c r="A145" s="13"/>
      <c r="B145" s="6"/>
      <c r="C145" s="6"/>
      <c r="D145" s="6"/>
      <c r="E145" s="6"/>
      <c r="F145" s="6"/>
      <c r="G145" s="6"/>
      <c r="H145" s="17" t="str">
        <f aca="false">IF(F145="","",F145+G145)</f>
        <v/>
      </c>
      <c r="I145" s="20" t="n">
        <v>0.3</v>
      </c>
      <c r="J145" s="16" t="str">
        <f aca="false">IF(H145="","",ROUND(H145*I145,2))</f>
        <v/>
      </c>
      <c r="K145" s="6"/>
    </row>
    <row r="146" customFormat="false" ht="15" hidden="false" customHeight="false" outlineLevel="0" collapsed="false">
      <c r="A146" s="13"/>
      <c r="B146" s="6"/>
      <c r="C146" s="6"/>
      <c r="D146" s="6"/>
      <c r="E146" s="6"/>
      <c r="F146" s="6"/>
      <c r="G146" s="6"/>
      <c r="H146" s="17" t="str">
        <f aca="false">IF(F146="","",F146+G146)</f>
        <v/>
      </c>
      <c r="I146" s="20" t="n">
        <v>0.3</v>
      </c>
      <c r="J146" s="16" t="str">
        <f aca="false">IF(H146="","",ROUND(H146*I146,2))</f>
        <v/>
      </c>
      <c r="K146" s="6"/>
    </row>
    <row r="147" customFormat="false" ht="15" hidden="false" customHeight="false" outlineLevel="0" collapsed="false">
      <c r="A147" s="13"/>
      <c r="B147" s="6"/>
      <c r="C147" s="6"/>
      <c r="D147" s="6"/>
      <c r="E147" s="6"/>
      <c r="F147" s="6"/>
      <c r="G147" s="6"/>
      <c r="H147" s="17" t="str">
        <f aca="false">IF(F147="","",F147+G147)</f>
        <v/>
      </c>
      <c r="I147" s="20" t="n">
        <v>0.3</v>
      </c>
      <c r="J147" s="16" t="str">
        <f aca="false">IF(H147="","",ROUND(H147*I147,2))</f>
        <v/>
      </c>
      <c r="K147" s="6"/>
    </row>
    <row r="148" customFormat="false" ht="15" hidden="false" customHeight="false" outlineLevel="0" collapsed="false">
      <c r="A148" s="13"/>
      <c r="B148" s="6"/>
      <c r="C148" s="6"/>
      <c r="D148" s="6"/>
      <c r="E148" s="6"/>
      <c r="F148" s="6"/>
      <c r="G148" s="6"/>
      <c r="H148" s="17" t="str">
        <f aca="false">IF(F148="","",F148+G148)</f>
        <v/>
      </c>
      <c r="I148" s="20" t="n">
        <v>0.3</v>
      </c>
      <c r="J148" s="16" t="str">
        <f aca="false">IF(H148="","",ROUND(H148*I148,2))</f>
        <v/>
      </c>
      <c r="K148" s="6"/>
    </row>
    <row r="149" customFormat="false" ht="15" hidden="false" customHeight="false" outlineLevel="0" collapsed="false">
      <c r="A149" s="13"/>
      <c r="B149" s="6"/>
      <c r="C149" s="6"/>
      <c r="D149" s="6"/>
      <c r="E149" s="6"/>
      <c r="F149" s="6"/>
      <c r="G149" s="6"/>
      <c r="H149" s="17" t="str">
        <f aca="false">IF(F149="","",F149+G149)</f>
        <v/>
      </c>
      <c r="I149" s="20" t="n">
        <v>0.3</v>
      </c>
      <c r="J149" s="16" t="str">
        <f aca="false">IF(H149="","",ROUND(H149*I149,2))</f>
        <v/>
      </c>
      <c r="K149" s="6"/>
    </row>
    <row r="150" customFormat="false" ht="15" hidden="false" customHeight="false" outlineLevel="0" collapsed="false">
      <c r="A150" s="13"/>
      <c r="B150" s="6"/>
      <c r="C150" s="6"/>
      <c r="D150" s="6"/>
      <c r="E150" s="6"/>
      <c r="F150" s="6"/>
      <c r="G150" s="6"/>
      <c r="H150" s="17" t="str">
        <f aca="false">IF(F150="","",F150+G150)</f>
        <v/>
      </c>
      <c r="I150" s="20" t="n">
        <v>0.3</v>
      </c>
      <c r="J150" s="16" t="str">
        <f aca="false">IF(H150="","",ROUND(H150*I150,2))</f>
        <v/>
      </c>
      <c r="K150" s="6"/>
    </row>
    <row r="151" customFormat="false" ht="15" hidden="false" customHeight="false" outlineLevel="0" collapsed="false">
      <c r="A151" s="13"/>
      <c r="B151" s="6"/>
      <c r="C151" s="6"/>
      <c r="D151" s="6"/>
      <c r="E151" s="6"/>
      <c r="F151" s="6"/>
      <c r="G151" s="6"/>
      <c r="H151" s="17" t="str">
        <f aca="false">IF(F151="","",F151+G151)</f>
        <v/>
      </c>
      <c r="I151" s="20" t="n">
        <v>0.3</v>
      </c>
      <c r="J151" s="16" t="str">
        <f aca="false">IF(H151="","",ROUND(H151*I151,2))</f>
        <v/>
      </c>
      <c r="K151" s="6"/>
    </row>
    <row r="152" customFormat="false" ht="15" hidden="false" customHeight="false" outlineLevel="0" collapsed="false">
      <c r="A152" s="13"/>
      <c r="B152" s="6"/>
      <c r="C152" s="6"/>
      <c r="D152" s="6"/>
      <c r="E152" s="6"/>
      <c r="F152" s="6"/>
      <c r="G152" s="6"/>
      <c r="H152" s="17" t="str">
        <f aca="false">IF(F152="","",F152+G152)</f>
        <v/>
      </c>
      <c r="I152" s="20" t="n">
        <v>0.3</v>
      </c>
      <c r="J152" s="16" t="str">
        <f aca="false">IF(H152="","",ROUND(H152*I152,2))</f>
        <v/>
      </c>
      <c r="K152" s="6"/>
    </row>
    <row r="153" customFormat="false" ht="15" hidden="false" customHeight="false" outlineLevel="0" collapsed="false">
      <c r="A153" s="13"/>
      <c r="B153" s="6"/>
      <c r="C153" s="6"/>
      <c r="D153" s="6"/>
      <c r="E153" s="6"/>
      <c r="F153" s="6"/>
      <c r="G153" s="6"/>
      <c r="H153" s="17" t="str">
        <f aca="false">IF(F153="","",F153+G153)</f>
        <v/>
      </c>
      <c r="I153" s="20" t="n">
        <v>0.3</v>
      </c>
      <c r="J153" s="16" t="str">
        <f aca="false">IF(H153="","",ROUND(H153*I153,2))</f>
        <v/>
      </c>
      <c r="K153" s="6"/>
    </row>
    <row r="154" customFormat="false" ht="15" hidden="false" customHeight="false" outlineLevel="0" collapsed="false">
      <c r="A154" s="13"/>
      <c r="B154" s="6"/>
      <c r="C154" s="6"/>
      <c r="D154" s="6"/>
      <c r="E154" s="6"/>
      <c r="F154" s="6"/>
      <c r="G154" s="6"/>
      <c r="H154" s="17" t="str">
        <f aca="false">IF(F154="","",F154+G154)</f>
        <v/>
      </c>
      <c r="I154" s="20" t="n">
        <v>0.3</v>
      </c>
      <c r="J154" s="16" t="str">
        <f aca="false">IF(H154="","",ROUND(H154*I154,2))</f>
        <v/>
      </c>
      <c r="K154" s="6"/>
    </row>
    <row r="155" customFormat="false" ht="15" hidden="false" customHeight="false" outlineLevel="0" collapsed="false">
      <c r="A155" s="13"/>
      <c r="B155" s="6"/>
      <c r="C155" s="6"/>
      <c r="D155" s="6"/>
      <c r="E155" s="6"/>
      <c r="F155" s="6"/>
      <c r="G155" s="6"/>
      <c r="H155" s="17" t="str">
        <f aca="false">IF(F155="","",F155+G155)</f>
        <v/>
      </c>
      <c r="I155" s="20" t="n">
        <v>0.3</v>
      </c>
      <c r="J155" s="16" t="str">
        <f aca="false">IF(H155="","",ROUND(H155*I155,2))</f>
        <v/>
      </c>
      <c r="K155" s="6"/>
    </row>
    <row r="156" customFormat="false" ht="15" hidden="false" customHeight="false" outlineLevel="0" collapsed="false">
      <c r="A156" s="13"/>
      <c r="B156" s="6"/>
      <c r="C156" s="6"/>
      <c r="D156" s="6"/>
      <c r="E156" s="6"/>
      <c r="F156" s="6"/>
      <c r="G156" s="6"/>
      <c r="H156" s="17" t="str">
        <f aca="false">IF(F156="","",F156+G156)</f>
        <v/>
      </c>
      <c r="I156" s="20" t="n">
        <v>0.3</v>
      </c>
      <c r="J156" s="16" t="str">
        <f aca="false">IF(H156="","",ROUND(H156*I156,2))</f>
        <v/>
      </c>
      <c r="K156" s="6"/>
    </row>
    <row r="157" customFormat="false" ht="15" hidden="false" customHeight="false" outlineLevel="0" collapsed="false">
      <c r="A157" s="13"/>
      <c r="B157" s="6"/>
      <c r="C157" s="6"/>
      <c r="D157" s="6"/>
      <c r="E157" s="6"/>
      <c r="F157" s="6"/>
      <c r="G157" s="6"/>
      <c r="H157" s="17" t="str">
        <f aca="false">IF(F157="","",F157+G157)</f>
        <v/>
      </c>
      <c r="I157" s="20" t="n">
        <v>0.3</v>
      </c>
      <c r="J157" s="16" t="str">
        <f aca="false">IF(H157="","",ROUND(H157*I157,2))</f>
        <v/>
      </c>
      <c r="K157" s="6"/>
    </row>
    <row r="158" customFormat="false" ht="15" hidden="false" customHeight="false" outlineLevel="0" collapsed="false">
      <c r="A158" s="13"/>
      <c r="B158" s="6"/>
      <c r="C158" s="6"/>
      <c r="D158" s="6"/>
      <c r="E158" s="6"/>
      <c r="F158" s="6"/>
      <c r="G158" s="6"/>
      <c r="H158" s="17" t="str">
        <f aca="false">IF(F158="","",F158+G158)</f>
        <v/>
      </c>
      <c r="I158" s="20" t="n">
        <v>0.3</v>
      </c>
      <c r="J158" s="16" t="str">
        <f aca="false">IF(H158="","",ROUND(H158*I158,2))</f>
        <v/>
      </c>
      <c r="K158" s="6"/>
    </row>
    <row r="159" customFormat="false" ht="15" hidden="false" customHeight="false" outlineLevel="0" collapsed="false">
      <c r="A159" s="13"/>
      <c r="B159" s="6"/>
      <c r="C159" s="6"/>
      <c r="D159" s="6"/>
      <c r="E159" s="6"/>
      <c r="F159" s="6"/>
      <c r="G159" s="6"/>
      <c r="H159" s="17" t="str">
        <f aca="false">IF(F159="","",F159+G159)</f>
        <v/>
      </c>
      <c r="I159" s="20" t="n">
        <v>0.3</v>
      </c>
      <c r="J159" s="16" t="str">
        <f aca="false">IF(H159="","",ROUND(H159*I159,2))</f>
        <v/>
      </c>
      <c r="K159" s="6"/>
    </row>
    <row r="160" customFormat="false" ht="15" hidden="false" customHeight="false" outlineLevel="0" collapsed="false">
      <c r="A160" s="13"/>
      <c r="B160" s="6"/>
      <c r="C160" s="6"/>
      <c r="D160" s="6"/>
      <c r="E160" s="6"/>
      <c r="F160" s="6"/>
      <c r="G160" s="6"/>
      <c r="H160" s="17" t="str">
        <f aca="false">IF(F160="","",F160+G160)</f>
        <v/>
      </c>
      <c r="I160" s="20" t="n">
        <v>0.3</v>
      </c>
      <c r="J160" s="16" t="str">
        <f aca="false">IF(H160="","",ROUND(H160*I160,2))</f>
        <v/>
      </c>
      <c r="K160" s="6"/>
    </row>
    <row r="161" customFormat="false" ht="15" hidden="false" customHeight="false" outlineLevel="0" collapsed="false">
      <c r="A161" s="13"/>
      <c r="B161" s="6"/>
      <c r="C161" s="6"/>
      <c r="D161" s="6"/>
      <c r="E161" s="6"/>
      <c r="F161" s="6"/>
      <c r="G161" s="6"/>
      <c r="H161" s="17" t="str">
        <f aca="false">IF(F161="","",F161+G161)</f>
        <v/>
      </c>
      <c r="I161" s="20" t="n">
        <v>0.3</v>
      </c>
      <c r="J161" s="16" t="str">
        <f aca="false">IF(H161="","",ROUND(H161*I161,2))</f>
        <v/>
      </c>
      <c r="K161" s="6"/>
    </row>
    <row r="162" customFormat="false" ht="15" hidden="false" customHeight="false" outlineLevel="0" collapsed="false">
      <c r="A162" s="13"/>
      <c r="B162" s="6"/>
      <c r="C162" s="6"/>
      <c r="D162" s="6"/>
      <c r="E162" s="6"/>
      <c r="F162" s="6"/>
      <c r="G162" s="6"/>
      <c r="H162" s="17" t="str">
        <f aca="false">IF(F162="","",F162+G162)</f>
        <v/>
      </c>
      <c r="I162" s="20" t="n">
        <v>0.3</v>
      </c>
      <c r="J162" s="16" t="str">
        <f aca="false">IF(H162="","",ROUND(H162*I162,2))</f>
        <v/>
      </c>
      <c r="K162" s="6"/>
    </row>
    <row r="163" customFormat="false" ht="15" hidden="false" customHeight="false" outlineLevel="0" collapsed="false">
      <c r="A163" s="13"/>
      <c r="B163" s="6"/>
      <c r="C163" s="6"/>
      <c r="D163" s="6"/>
      <c r="E163" s="6"/>
      <c r="F163" s="6"/>
      <c r="G163" s="6"/>
      <c r="H163" s="17" t="str">
        <f aca="false">IF(F163="","",F163+G163)</f>
        <v/>
      </c>
      <c r="I163" s="20" t="n">
        <v>0.3</v>
      </c>
      <c r="J163" s="16" t="str">
        <f aca="false">IF(H163="","",ROUND(H163*I163,2))</f>
        <v/>
      </c>
      <c r="K163" s="6"/>
    </row>
    <row r="164" customFormat="false" ht="15" hidden="false" customHeight="false" outlineLevel="0" collapsed="false">
      <c r="A164" s="13"/>
      <c r="B164" s="6"/>
      <c r="C164" s="6"/>
      <c r="D164" s="6"/>
      <c r="E164" s="6"/>
      <c r="F164" s="6"/>
      <c r="G164" s="6"/>
      <c r="H164" s="17" t="str">
        <f aca="false">IF(F164="","",F164+G164)</f>
        <v/>
      </c>
      <c r="I164" s="20" t="n">
        <v>0.3</v>
      </c>
      <c r="J164" s="16" t="str">
        <f aca="false">IF(H164="","",ROUND(H164*I164,2))</f>
        <v/>
      </c>
      <c r="K164" s="6"/>
    </row>
    <row r="165" customFormat="false" ht="15" hidden="false" customHeight="false" outlineLevel="0" collapsed="false">
      <c r="A165" s="13"/>
      <c r="B165" s="6"/>
      <c r="C165" s="6"/>
      <c r="D165" s="6"/>
      <c r="E165" s="6"/>
      <c r="F165" s="6"/>
      <c r="G165" s="6"/>
      <c r="H165" s="17" t="str">
        <f aca="false">IF(F165="","",F165+G165)</f>
        <v/>
      </c>
      <c r="I165" s="20" t="n">
        <v>0.3</v>
      </c>
      <c r="J165" s="16" t="str">
        <f aca="false">IF(H165="","",ROUND(H165*I165,2))</f>
        <v/>
      </c>
      <c r="K165" s="6"/>
    </row>
    <row r="166" customFormat="false" ht="15" hidden="false" customHeight="false" outlineLevel="0" collapsed="false">
      <c r="A166" s="13"/>
      <c r="B166" s="6"/>
      <c r="C166" s="6"/>
      <c r="D166" s="6"/>
      <c r="E166" s="6"/>
      <c r="F166" s="6"/>
      <c r="G166" s="6"/>
      <c r="H166" s="17" t="str">
        <f aca="false">IF(F166="","",F166+G166)</f>
        <v/>
      </c>
      <c r="I166" s="20" t="n">
        <v>0.3</v>
      </c>
      <c r="J166" s="16" t="str">
        <f aca="false">IF(H166="","",ROUND(H166*I166,2))</f>
        <v/>
      </c>
      <c r="K166" s="6"/>
    </row>
    <row r="167" customFormat="false" ht="15" hidden="false" customHeight="false" outlineLevel="0" collapsed="false">
      <c r="A167" s="13"/>
      <c r="B167" s="6"/>
      <c r="C167" s="6"/>
      <c r="D167" s="6"/>
      <c r="E167" s="6"/>
      <c r="F167" s="6"/>
      <c r="G167" s="6"/>
      <c r="H167" s="17" t="str">
        <f aca="false">IF(F167="","",F167+G167)</f>
        <v/>
      </c>
      <c r="I167" s="20" t="n">
        <v>0.3</v>
      </c>
      <c r="J167" s="16" t="str">
        <f aca="false">IF(H167="","",ROUND(H167*I167,2))</f>
        <v/>
      </c>
      <c r="K167" s="6"/>
    </row>
    <row r="168" customFormat="false" ht="15" hidden="false" customHeight="false" outlineLevel="0" collapsed="false">
      <c r="A168" s="13"/>
      <c r="B168" s="6"/>
      <c r="C168" s="6"/>
      <c r="D168" s="6"/>
      <c r="E168" s="6"/>
      <c r="F168" s="6"/>
      <c r="G168" s="6"/>
      <c r="H168" s="17" t="str">
        <f aca="false">IF(F168="","",F168+G168)</f>
        <v/>
      </c>
      <c r="I168" s="20" t="n">
        <v>0.3</v>
      </c>
      <c r="J168" s="16" t="str">
        <f aca="false">IF(H168="","",ROUND(H168*I168,2))</f>
        <v/>
      </c>
      <c r="K168" s="6"/>
    </row>
    <row r="169" customFormat="false" ht="15" hidden="false" customHeight="false" outlineLevel="0" collapsed="false">
      <c r="A169" s="13"/>
      <c r="B169" s="6"/>
      <c r="C169" s="6"/>
      <c r="D169" s="6"/>
      <c r="E169" s="6"/>
      <c r="F169" s="6"/>
      <c r="G169" s="6"/>
      <c r="H169" s="17" t="str">
        <f aca="false">IF(F169="","",F169+G169)</f>
        <v/>
      </c>
      <c r="I169" s="20" t="n">
        <v>0.3</v>
      </c>
      <c r="J169" s="16" t="str">
        <f aca="false">IF(H169="","",ROUND(H169*I169,2))</f>
        <v/>
      </c>
      <c r="K169" s="6"/>
    </row>
    <row r="170" customFormat="false" ht="15" hidden="false" customHeight="false" outlineLevel="0" collapsed="false">
      <c r="A170" s="13"/>
      <c r="B170" s="6"/>
      <c r="C170" s="6"/>
      <c r="D170" s="6"/>
      <c r="E170" s="6"/>
      <c r="F170" s="6"/>
      <c r="G170" s="6"/>
      <c r="H170" s="17" t="str">
        <f aca="false">IF(F170="","",F170+G170)</f>
        <v/>
      </c>
      <c r="I170" s="20" t="n">
        <v>0.3</v>
      </c>
      <c r="J170" s="16" t="str">
        <f aca="false">IF(H170="","",ROUND(H170*I170,2))</f>
        <v/>
      </c>
      <c r="K170" s="6"/>
    </row>
    <row r="171" customFormat="false" ht="15" hidden="false" customHeight="false" outlineLevel="0" collapsed="false">
      <c r="A171" s="13"/>
      <c r="B171" s="6"/>
      <c r="C171" s="6"/>
      <c r="D171" s="6"/>
      <c r="E171" s="6"/>
      <c r="F171" s="6"/>
      <c r="G171" s="6"/>
      <c r="H171" s="17" t="str">
        <f aca="false">IF(F171="","",F171+G171)</f>
        <v/>
      </c>
      <c r="I171" s="20" t="n">
        <v>0.3</v>
      </c>
      <c r="J171" s="16" t="str">
        <f aca="false">IF(H171="","",ROUND(H171*I171,2))</f>
        <v/>
      </c>
      <c r="K171" s="6"/>
    </row>
    <row r="172" customFormat="false" ht="15" hidden="false" customHeight="false" outlineLevel="0" collapsed="false">
      <c r="A172" s="13"/>
      <c r="B172" s="6"/>
      <c r="C172" s="6"/>
      <c r="D172" s="6"/>
      <c r="E172" s="6"/>
      <c r="F172" s="6"/>
      <c r="G172" s="6"/>
      <c r="H172" s="17" t="str">
        <f aca="false">IF(F172="","",F172+G172)</f>
        <v/>
      </c>
      <c r="I172" s="20" t="n">
        <v>0.3</v>
      </c>
      <c r="J172" s="16" t="str">
        <f aca="false">IF(H172="","",ROUND(H172*I172,2))</f>
        <v/>
      </c>
      <c r="K172" s="6"/>
    </row>
    <row r="173" customFormat="false" ht="15" hidden="false" customHeight="false" outlineLevel="0" collapsed="false">
      <c r="A173" s="13"/>
      <c r="B173" s="6"/>
      <c r="C173" s="6"/>
      <c r="D173" s="6"/>
      <c r="E173" s="6"/>
      <c r="F173" s="6"/>
      <c r="G173" s="6"/>
      <c r="H173" s="17" t="str">
        <f aca="false">IF(F173="","",F173+G173)</f>
        <v/>
      </c>
      <c r="I173" s="20" t="n">
        <v>0.3</v>
      </c>
      <c r="J173" s="16" t="str">
        <f aca="false">IF(H173="","",ROUND(H173*I173,2))</f>
        <v/>
      </c>
      <c r="K173" s="6"/>
    </row>
    <row r="174" customFormat="false" ht="15" hidden="false" customHeight="false" outlineLevel="0" collapsed="false">
      <c r="A174" s="13"/>
      <c r="B174" s="6"/>
      <c r="C174" s="6"/>
      <c r="D174" s="6"/>
      <c r="E174" s="6"/>
      <c r="F174" s="6"/>
      <c r="G174" s="6"/>
      <c r="H174" s="17" t="str">
        <f aca="false">IF(F174="","",F174+G174)</f>
        <v/>
      </c>
      <c r="I174" s="20" t="n">
        <v>0.3</v>
      </c>
      <c r="J174" s="16" t="str">
        <f aca="false">IF(H174="","",ROUND(H174*I174,2))</f>
        <v/>
      </c>
      <c r="K174" s="6"/>
    </row>
    <row r="175" customFormat="false" ht="15" hidden="false" customHeight="false" outlineLevel="0" collapsed="false">
      <c r="A175" s="13"/>
      <c r="B175" s="6"/>
      <c r="C175" s="6"/>
      <c r="D175" s="6"/>
      <c r="E175" s="6"/>
      <c r="F175" s="6"/>
      <c r="G175" s="6"/>
      <c r="H175" s="17" t="str">
        <f aca="false">IF(F175="","",F175+G175)</f>
        <v/>
      </c>
      <c r="I175" s="20" t="n">
        <v>0.3</v>
      </c>
      <c r="J175" s="16" t="str">
        <f aca="false">IF(H175="","",ROUND(H175*I175,2))</f>
        <v/>
      </c>
      <c r="K175" s="6"/>
    </row>
    <row r="176" customFormat="false" ht="15" hidden="false" customHeight="false" outlineLevel="0" collapsed="false">
      <c r="A176" s="13"/>
      <c r="B176" s="6"/>
      <c r="C176" s="6"/>
      <c r="D176" s="6"/>
      <c r="E176" s="6"/>
      <c r="F176" s="6"/>
      <c r="G176" s="6"/>
      <c r="H176" s="17" t="str">
        <f aca="false">IF(F176="","",F176+G176)</f>
        <v/>
      </c>
      <c r="I176" s="20" t="n">
        <v>0.3</v>
      </c>
      <c r="J176" s="16" t="str">
        <f aca="false">IF(H176="","",ROUND(H176*I176,2))</f>
        <v/>
      </c>
      <c r="K176" s="6"/>
    </row>
    <row r="177" customFormat="false" ht="15" hidden="false" customHeight="false" outlineLevel="0" collapsed="false">
      <c r="A177" s="13"/>
      <c r="B177" s="6"/>
      <c r="C177" s="6"/>
      <c r="D177" s="6"/>
      <c r="E177" s="6"/>
      <c r="F177" s="6"/>
      <c r="G177" s="6"/>
      <c r="H177" s="17" t="str">
        <f aca="false">IF(F177="","",F177+G177)</f>
        <v/>
      </c>
      <c r="I177" s="20" t="n">
        <v>0.3</v>
      </c>
      <c r="J177" s="16" t="str">
        <f aca="false">IF(H177="","",ROUND(H177*I177,2))</f>
        <v/>
      </c>
      <c r="K177" s="6"/>
    </row>
    <row r="178" customFormat="false" ht="15" hidden="false" customHeight="false" outlineLevel="0" collapsed="false">
      <c r="A178" s="13"/>
      <c r="B178" s="6"/>
      <c r="C178" s="6"/>
      <c r="D178" s="6"/>
      <c r="E178" s="6"/>
      <c r="F178" s="6"/>
      <c r="G178" s="6"/>
      <c r="H178" s="17" t="str">
        <f aca="false">IF(F178="","",F178+G178)</f>
        <v/>
      </c>
      <c r="I178" s="20" t="n">
        <v>0.3</v>
      </c>
      <c r="J178" s="16" t="str">
        <f aca="false">IF(H178="","",ROUND(H178*I178,2))</f>
        <v/>
      </c>
      <c r="K178" s="6"/>
    </row>
    <row r="179" customFormat="false" ht="15" hidden="false" customHeight="false" outlineLevel="0" collapsed="false">
      <c r="A179" s="13"/>
      <c r="B179" s="6"/>
      <c r="C179" s="6"/>
      <c r="D179" s="6"/>
      <c r="E179" s="6"/>
      <c r="F179" s="6"/>
      <c r="G179" s="6"/>
      <c r="H179" s="17" t="str">
        <f aca="false">IF(F179="","",F179+G179)</f>
        <v/>
      </c>
      <c r="I179" s="20" t="n">
        <v>0.3</v>
      </c>
      <c r="J179" s="16" t="str">
        <f aca="false">IF(H179="","",ROUND(H179*I179,2))</f>
        <v/>
      </c>
      <c r="K179" s="6"/>
    </row>
    <row r="180" customFormat="false" ht="15" hidden="false" customHeight="false" outlineLevel="0" collapsed="false">
      <c r="A180" s="13"/>
      <c r="B180" s="6"/>
      <c r="C180" s="6"/>
      <c r="D180" s="6"/>
      <c r="E180" s="6"/>
      <c r="F180" s="6"/>
      <c r="G180" s="6"/>
      <c r="H180" s="17" t="str">
        <f aca="false">IF(F180="","",F180+G180)</f>
        <v/>
      </c>
      <c r="I180" s="20" t="n">
        <v>0.3</v>
      </c>
      <c r="J180" s="16" t="str">
        <f aca="false">IF(H180="","",ROUND(H180*I180,2))</f>
        <v/>
      </c>
      <c r="K180" s="6"/>
    </row>
    <row r="181" customFormat="false" ht="15" hidden="false" customHeight="false" outlineLevel="0" collapsed="false">
      <c r="A181" s="13"/>
      <c r="B181" s="6"/>
      <c r="C181" s="6"/>
      <c r="D181" s="6"/>
      <c r="E181" s="6"/>
      <c r="F181" s="6"/>
      <c r="G181" s="6"/>
      <c r="H181" s="17" t="str">
        <f aca="false">IF(F181="","",F181+G181)</f>
        <v/>
      </c>
      <c r="I181" s="20" t="n">
        <v>0.3</v>
      </c>
      <c r="J181" s="16" t="str">
        <f aca="false">IF(H181="","",ROUND(H181*I181,2))</f>
        <v/>
      </c>
      <c r="K181" s="6"/>
    </row>
    <row r="182" customFormat="false" ht="15" hidden="false" customHeight="false" outlineLevel="0" collapsed="false">
      <c r="A182" s="13"/>
      <c r="B182" s="6"/>
      <c r="C182" s="6"/>
      <c r="D182" s="6"/>
      <c r="E182" s="6"/>
      <c r="F182" s="6"/>
      <c r="G182" s="6"/>
      <c r="H182" s="17" t="str">
        <f aca="false">IF(F182="","",F182+G182)</f>
        <v/>
      </c>
      <c r="I182" s="20" t="n">
        <v>0.3</v>
      </c>
      <c r="J182" s="16" t="str">
        <f aca="false">IF(H182="","",ROUND(H182*I182,2))</f>
        <v/>
      </c>
      <c r="K182" s="6"/>
    </row>
    <row r="183" customFormat="false" ht="15" hidden="false" customHeight="false" outlineLevel="0" collapsed="false">
      <c r="A183" s="13"/>
      <c r="B183" s="6"/>
      <c r="C183" s="6"/>
      <c r="D183" s="6"/>
      <c r="E183" s="6"/>
      <c r="F183" s="6"/>
      <c r="G183" s="6"/>
      <c r="H183" s="17" t="str">
        <f aca="false">IF(F183="","",F183+G183)</f>
        <v/>
      </c>
      <c r="I183" s="20" t="n">
        <v>0.3</v>
      </c>
      <c r="J183" s="16" t="str">
        <f aca="false">IF(H183="","",ROUND(H183*I183,2))</f>
        <v/>
      </c>
      <c r="K183" s="6"/>
    </row>
    <row r="184" customFormat="false" ht="15" hidden="false" customHeight="false" outlineLevel="0" collapsed="false">
      <c r="A184" s="13"/>
      <c r="B184" s="6"/>
      <c r="C184" s="6"/>
      <c r="D184" s="6"/>
      <c r="E184" s="6"/>
      <c r="F184" s="6"/>
      <c r="G184" s="6"/>
      <c r="H184" s="17" t="str">
        <f aca="false">IF(F184="","",F184+G184)</f>
        <v/>
      </c>
      <c r="I184" s="20" t="n">
        <v>0.3</v>
      </c>
      <c r="J184" s="16" t="str">
        <f aca="false">IF(H184="","",ROUND(H184*I184,2))</f>
        <v/>
      </c>
      <c r="K184" s="6"/>
    </row>
    <row r="185" customFormat="false" ht="15" hidden="false" customHeight="false" outlineLevel="0" collapsed="false">
      <c r="A185" s="13"/>
      <c r="B185" s="6"/>
      <c r="C185" s="6"/>
      <c r="D185" s="6"/>
      <c r="E185" s="6"/>
      <c r="F185" s="6"/>
      <c r="G185" s="6"/>
      <c r="H185" s="17" t="str">
        <f aca="false">IF(F185="","",F185+G185)</f>
        <v/>
      </c>
      <c r="I185" s="20" t="n">
        <v>0.3</v>
      </c>
      <c r="J185" s="16" t="str">
        <f aca="false">IF(H185="","",ROUND(H185*I185,2))</f>
        <v/>
      </c>
      <c r="K185" s="6"/>
    </row>
    <row r="186" customFormat="false" ht="15" hidden="false" customHeight="false" outlineLevel="0" collapsed="false">
      <c r="A186" s="13"/>
      <c r="B186" s="6"/>
      <c r="C186" s="6"/>
      <c r="D186" s="6"/>
      <c r="E186" s="6"/>
      <c r="F186" s="6"/>
      <c r="G186" s="6"/>
      <c r="H186" s="17" t="str">
        <f aca="false">IF(F186="","",F186+G186)</f>
        <v/>
      </c>
      <c r="I186" s="20" t="n">
        <v>0.3</v>
      </c>
      <c r="J186" s="16" t="str">
        <f aca="false">IF(H186="","",ROUND(H186*I186,2))</f>
        <v/>
      </c>
      <c r="K186" s="6"/>
    </row>
    <row r="187" customFormat="false" ht="15" hidden="false" customHeight="false" outlineLevel="0" collapsed="false">
      <c r="A187" s="13"/>
      <c r="B187" s="6"/>
      <c r="C187" s="6"/>
      <c r="D187" s="6"/>
      <c r="E187" s="6"/>
      <c r="F187" s="6"/>
      <c r="G187" s="6"/>
      <c r="H187" s="17" t="str">
        <f aca="false">IF(F187="","",F187+G187)</f>
        <v/>
      </c>
      <c r="I187" s="20" t="n">
        <v>0.3</v>
      </c>
      <c r="J187" s="16" t="str">
        <f aca="false">IF(H187="","",ROUND(H187*I187,2))</f>
        <v/>
      </c>
      <c r="K187" s="6"/>
    </row>
    <row r="188" customFormat="false" ht="15" hidden="false" customHeight="false" outlineLevel="0" collapsed="false">
      <c r="A188" s="13"/>
      <c r="B188" s="6"/>
      <c r="C188" s="6"/>
      <c r="D188" s="6"/>
      <c r="E188" s="6"/>
      <c r="F188" s="6"/>
      <c r="G188" s="6"/>
      <c r="H188" s="17" t="str">
        <f aca="false">IF(F188="","",F188+G188)</f>
        <v/>
      </c>
      <c r="I188" s="20" t="n">
        <v>0.3</v>
      </c>
      <c r="J188" s="16" t="str">
        <f aca="false">IF(H188="","",ROUND(H188*I188,2))</f>
        <v/>
      </c>
      <c r="K188" s="6"/>
    </row>
    <row r="189" customFormat="false" ht="15" hidden="false" customHeight="false" outlineLevel="0" collapsed="false">
      <c r="A189" s="13"/>
      <c r="B189" s="6"/>
      <c r="C189" s="6"/>
      <c r="D189" s="6"/>
      <c r="E189" s="6"/>
      <c r="F189" s="6"/>
      <c r="G189" s="6"/>
      <c r="H189" s="17" t="str">
        <f aca="false">IF(F189="","",F189+G189)</f>
        <v/>
      </c>
      <c r="I189" s="20" t="n">
        <v>0.3</v>
      </c>
      <c r="J189" s="16" t="str">
        <f aca="false">IF(H189="","",ROUND(H189*I189,2))</f>
        <v/>
      </c>
      <c r="K189" s="6"/>
    </row>
    <row r="190" customFormat="false" ht="15" hidden="false" customHeight="false" outlineLevel="0" collapsed="false">
      <c r="A190" s="13"/>
      <c r="B190" s="6"/>
      <c r="C190" s="6"/>
      <c r="D190" s="6"/>
      <c r="E190" s="6"/>
      <c r="F190" s="6"/>
      <c r="G190" s="6"/>
      <c r="H190" s="17" t="str">
        <f aca="false">IF(F190="","",F190+G190)</f>
        <v/>
      </c>
      <c r="I190" s="20" t="n">
        <v>0.3</v>
      </c>
      <c r="J190" s="16" t="str">
        <f aca="false">IF(H190="","",ROUND(H190*I190,2))</f>
        <v/>
      </c>
      <c r="K190" s="6"/>
    </row>
    <row r="191" customFormat="false" ht="15" hidden="false" customHeight="false" outlineLevel="0" collapsed="false">
      <c r="A191" s="13"/>
      <c r="B191" s="6"/>
      <c r="C191" s="6"/>
      <c r="D191" s="6"/>
      <c r="E191" s="6"/>
      <c r="F191" s="6"/>
      <c r="G191" s="6"/>
      <c r="H191" s="17" t="str">
        <f aca="false">IF(F191="","",F191+G191)</f>
        <v/>
      </c>
      <c r="I191" s="20" t="n">
        <v>0.3</v>
      </c>
      <c r="J191" s="16" t="str">
        <f aca="false">IF(H191="","",ROUND(H191*I191,2))</f>
        <v/>
      </c>
      <c r="K191" s="6"/>
    </row>
    <row r="192" customFormat="false" ht="15" hidden="false" customHeight="false" outlineLevel="0" collapsed="false">
      <c r="A192" s="13"/>
      <c r="B192" s="6"/>
      <c r="C192" s="6"/>
      <c r="D192" s="6"/>
      <c r="E192" s="6"/>
      <c r="F192" s="6"/>
      <c r="G192" s="6"/>
      <c r="H192" s="17" t="str">
        <f aca="false">IF(F192="","",F192+G192)</f>
        <v/>
      </c>
      <c r="I192" s="20" t="n">
        <v>0.3</v>
      </c>
      <c r="J192" s="16" t="str">
        <f aca="false">IF(H192="","",ROUND(H192*I192,2))</f>
        <v/>
      </c>
      <c r="K192" s="6"/>
    </row>
    <row r="193" customFormat="false" ht="15" hidden="false" customHeight="false" outlineLevel="0" collapsed="false">
      <c r="A193" s="13"/>
      <c r="B193" s="6"/>
      <c r="C193" s="6"/>
      <c r="D193" s="6"/>
      <c r="E193" s="6"/>
      <c r="F193" s="6"/>
      <c r="G193" s="6"/>
      <c r="H193" s="17" t="str">
        <f aca="false">IF(F193="","",F193+G193)</f>
        <v/>
      </c>
      <c r="I193" s="20" t="n">
        <v>0.3</v>
      </c>
      <c r="J193" s="16" t="str">
        <f aca="false">IF(H193="","",ROUND(H193*I193,2))</f>
        <v/>
      </c>
      <c r="K193" s="6"/>
    </row>
    <row r="194" customFormat="false" ht="15" hidden="false" customHeight="false" outlineLevel="0" collapsed="false">
      <c r="A194" s="13"/>
      <c r="B194" s="6"/>
      <c r="C194" s="6"/>
      <c r="D194" s="6"/>
      <c r="E194" s="6"/>
      <c r="F194" s="6"/>
      <c r="G194" s="6"/>
      <c r="H194" s="17" t="str">
        <f aca="false">IF(F194="","",F194+G194)</f>
        <v/>
      </c>
      <c r="I194" s="20" t="n">
        <v>0.3</v>
      </c>
      <c r="J194" s="16" t="str">
        <f aca="false">IF(H194="","",ROUND(H194*I194,2))</f>
        <v/>
      </c>
      <c r="K194" s="6"/>
    </row>
    <row r="195" customFormat="false" ht="15" hidden="false" customHeight="false" outlineLevel="0" collapsed="false">
      <c r="A195" s="13"/>
      <c r="B195" s="6"/>
      <c r="C195" s="6"/>
      <c r="D195" s="6"/>
      <c r="E195" s="6"/>
      <c r="F195" s="6"/>
      <c r="G195" s="6"/>
      <c r="H195" s="17" t="str">
        <f aca="false">IF(F195="","",F195+G195)</f>
        <v/>
      </c>
      <c r="I195" s="20" t="n">
        <v>0.3</v>
      </c>
      <c r="J195" s="16" t="str">
        <f aca="false">IF(H195="","",ROUND(H195*I195,2))</f>
        <v/>
      </c>
      <c r="K195" s="6"/>
    </row>
    <row r="196" customFormat="false" ht="15" hidden="false" customHeight="false" outlineLevel="0" collapsed="false">
      <c r="A196" s="13"/>
      <c r="B196" s="6"/>
      <c r="C196" s="6"/>
      <c r="D196" s="6"/>
      <c r="E196" s="6"/>
      <c r="F196" s="6"/>
      <c r="G196" s="6"/>
      <c r="H196" s="17" t="str">
        <f aca="false">IF(F196="","",F196+G196)</f>
        <v/>
      </c>
      <c r="I196" s="20" t="n">
        <v>0.3</v>
      </c>
      <c r="J196" s="16" t="str">
        <f aca="false">IF(H196="","",ROUND(H196*I196,2))</f>
        <v/>
      </c>
      <c r="K196" s="6"/>
    </row>
    <row r="197" customFormat="false" ht="15" hidden="false" customHeight="false" outlineLevel="0" collapsed="false">
      <c r="A197" s="13"/>
      <c r="B197" s="6"/>
      <c r="C197" s="6"/>
      <c r="D197" s="6"/>
      <c r="E197" s="6"/>
      <c r="F197" s="6"/>
      <c r="G197" s="6"/>
      <c r="H197" s="17" t="str">
        <f aca="false">IF(F197="","",F197+G197)</f>
        <v/>
      </c>
      <c r="I197" s="20" t="n">
        <v>0.3</v>
      </c>
      <c r="J197" s="16" t="str">
        <f aca="false">IF(H197="","",ROUND(H197*I197,2))</f>
        <v/>
      </c>
      <c r="K197" s="6"/>
    </row>
    <row r="198" customFormat="false" ht="15" hidden="false" customHeight="false" outlineLevel="0" collapsed="false">
      <c r="A198" s="13"/>
      <c r="B198" s="6"/>
      <c r="C198" s="6"/>
      <c r="D198" s="6"/>
      <c r="E198" s="6"/>
      <c r="F198" s="6"/>
      <c r="G198" s="6"/>
      <c r="H198" s="17" t="str">
        <f aca="false">IF(F198="","",F198+G198)</f>
        <v/>
      </c>
      <c r="I198" s="20" t="n">
        <v>0.3</v>
      </c>
      <c r="J198" s="16" t="str">
        <f aca="false">IF(H198="","",ROUND(H198*I198,2))</f>
        <v/>
      </c>
      <c r="K198" s="6"/>
    </row>
    <row r="199" customFormat="false" ht="15" hidden="false" customHeight="false" outlineLevel="0" collapsed="false">
      <c r="A199" s="13"/>
      <c r="B199" s="6"/>
      <c r="C199" s="6"/>
      <c r="D199" s="6"/>
      <c r="E199" s="6"/>
      <c r="F199" s="6"/>
      <c r="G199" s="6"/>
      <c r="H199" s="17" t="str">
        <f aca="false">IF(F199="","",F199+G199)</f>
        <v/>
      </c>
      <c r="I199" s="20" t="n">
        <v>0.3</v>
      </c>
      <c r="J199" s="16" t="str">
        <f aca="false">IF(H199="","",ROUND(H199*I199,2))</f>
        <v/>
      </c>
      <c r="K199" s="6"/>
    </row>
    <row r="200" customFormat="false" ht="15" hidden="false" customHeight="false" outlineLevel="0" collapsed="false">
      <c r="A200" s="13"/>
      <c r="B200" s="6"/>
      <c r="C200" s="6"/>
      <c r="D200" s="6"/>
      <c r="E200" s="6"/>
      <c r="F200" s="6"/>
      <c r="G200" s="6"/>
      <c r="H200" s="17" t="str">
        <f aca="false">IF(F200="","",F200+G200)</f>
        <v/>
      </c>
      <c r="I200" s="20" t="n">
        <v>0.3</v>
      </c>
      <c r="J200" s="16" t="str">
        <f aca="false">IF(H200="","",ROUND(H200*I200,2))</f>
        <v/>
      </c>
      <c r="K200" s="6"/>
    </row>
    <row r="201" customFormat="false" ht="15" hidden="false" customHeight="false" outlineLevel="0" collapsed="false">
      <c r="A201" s="13"/>
      <c r="B201" s="6"/>
      <c r="C201" s="6"/>
      <c r="D201" s="6"/>
      <c r="E201" s="6"/>
      <c r="F201" s="6"/>
      <c r="G201" s="6"/>
      <c r="H201" s="17" t="str">
        <f aca="false">IF(F201="","",F201+G201)</f>
        <v/>
      </c>
      <c r="I201" s="20" t="n">
        <v>0.3</v>
      </c>
      <c r="J201" s="16" t="str">
        <f aca="false">IF(H201="","",ROUND(H201*I201,2))</f>
        <v/>
      </c>
      <c r="K201" s="6"/>
    </row>
    <row r="202" customFormat="false" ht="15" hidden="false" customHeight="false" outlineLevel="0" collapsed="false">
      <c r="A202" s="13"/>
      <c r="B202" s="6"/>
      <c r="C202" s="6"/>
      <c r="D202" s="6"/>
      <c r="E202" s="6"/>
      <c r="F202" s="6"/>
      <c r="G202" s="6"/>
      <c r="H202" s="17" t="str">
        <f aca="false">IF(F202="","",F202+G202)</f>
        <v/>
      </c>
      <c r="I202" s="20" t="n">
        <v>0.3</v>
      </c>
      <c r="J202" s="16" t="str">
        <f aca="false">IF(H202="","",ROUND(H202*I202,2))</f>
        <v/>
      </c>
      <c r="K202" s="6"/>
    </row>
    <row r="203" customFormat="false" ht="15" hidden="false" customHeight="false" outlineLevel="0" collapsed="false">
      <c r="A203" s="13"/>
      <c r="B203" s="6"/>
      <c r="C203" s="6"/>
      <c r="D203" s="6"/>
      <c r="E203" s="6"/>
      <c r="F203" s="6"/>
      <c r="G203" s="6"/>
      <c r="H203" s="17" t="str">
        <f aca="false">IF(F203="","",F203+G203)</f>
        <v/>
      </c>
      <c r="I203" s="20" t="n">
        <v>0.3</v>
      </c>
      <c r="J203" s="16" t="str">
        <f aca="false">IF(H203="","",ROUND(H203*I203,2))</f>
        <v/>
      </c>
      <c r="K203" s="6"/>
    </row>
    <row r="204" customFormat="false" ht="15" hidden="false" customHeight="false" outlineLevel="0" collapsed="false">
      <c r="A204" s="13"/>
      <c r="B204" s="6"/>
      <c r="C204" s="6"/>
      <c r="D204" s="6"/>
      <c r="E204" s="6"/>
      <c r="F204" s="6"/>
      <c r="G204" s="6"/>
      <c r="H204" s="17" t="str">
        <f aca="false">IF(F204="","",F204+G204)</f>
        <v/>
      </c>
      <c r="I204" s="20" t="n">
        <v>0.3</v>
      </c>
      <c r="J204" s="16" t="str">
        <f aca="false">IF(H204="","",ROUND(H204*I204,2))</f>
        <v/>
      </c>
      <c r="K204" s="6"/>
    </row>
    <row r="205" customFormat="false" ht="15" hidden="false" customHeight="false" outlineLevel="0" collapsed="false">
      <c r="A205" s="13"/>
      <c r="B205" s="6"/>
      <c r="C205" s="6"/>
      <c r="D205" s="6"/>
      <c r="E205" s="6"/>
      <c r="F205" s="6"/>
      <c r="G205" s="6"/>
      <c r="H205" s="17" t="str">
        <f aca="false">IF(F205="","",F205+G205)</f>
        <v/>
      </c>
      <c r="I205" s="20" t="n">
        <v>0.3</v>
      </c>
      <c r="J205" s="16" t="str">
        <f aca="false">IF(H205="","",ROUND(H205*I205,2))</f>
        <v/>
      </c>
      <c r="K205" s="6"/>
    </row>
    <row r="206" customFormat="false" ht="15" hidden="false" customHeight="false" outlineLevel="0" collapsed="false">
      <c r="A206" s="13"/>
      <c r="B206" s="6"/>
      <c r="C206" s="6"/>
      <c r="D206" s="6"/>
      <c r="E206" s="6"/>
      <c r="F206" s="6"/>
      <c r="G206" s="6"/>
      <c r="H206" s="17" t="str">
        <f aca="false">IF(F206="","",F206+G206)</f>
        <v/>
      </c>
      <c r="I206" s="20" t="n">
        <v>0.3</v>
      </c>
      <c r="J206" s="16" t="str">
        <f aca="false">IF(H206="","",ROUND(H206*I206,2))</f>
        <v/>
      </c>
      <c r="K206" s="6"/>
    </row>
    <row r="207" customFormat="false" ht="15" hidden="false" customHeight="false" outlineLevel="0" collapsed="false">
      <c r="A207" s="13"/>
      <c r="B207" s="6"/>
      <c r="C207" s="6"/>
      <c r="D207" s="6"/>
      <c r="E207" s="6"/>
      <c r="F207" s="6"/>
      <c r="G207" s="6"/>
      <c r="H207" s="17" t="str">
        <f aca="false">IF(F207="","",F207+G207)</f>
        <v/>
      </c>
      <c r="I207" s="20" t="n">
        <v>0.3</v>
      </c>
      <c r="J207" s="16" t="str">
        <f aca="false">IF(H207="","",ROUND(H207*I207,2))</f>
        <v/>
      </c>
      <c r="K207" s="6"/>
    </row>
    <row r="208" customFormat="false" ht="15" hidden="false" customHeight="false" outlineLevel="0" collapsed="false">
      <c r="A208" s="13"/>
      <c r="B208" s="6"/>
      <c r="C208" s="6"/>
      <c r="D208" s="6"/>
      <c r="E208" s="6"/>
      <c r="F208" s="6"/>
      <c r="G208" s="6"/>
      <c r="H208" s="17" t="str">
        <f aca="false">IF(F208="","",F208+G208)</f>
        <v/>
      </c>
      <c r="I208" s="20" t="n">
        <v>0.3</v>
      </c>
      <c r="J208" s="16" t="str">
        <f aca="false">IF(H208="","",ROUND(H208*I208,2))</f>
        <v/>
      </c>
      <c r="K208" s="6"/>
    </row>
    <row r="209" customFormat="false" ht="15" hidden="false" customHeight="false" outlineLevel="0" collapsed="false">
      <c r="A209" s="13"/>
      <c r="B209" s="6"/>
      <c r="C209" s="6"/>
      <c r="D209" s="6"/>
      <c r="E209" s="6"/>
      <c r="F209" s="6"/>
      <c r="G209" s="6"/>
      <c r="H209" s="17" t="str">
        <f aca="false">IF(F209="","",F209+G209)</f>
        <v/>
      </c>
      <c r="I209" s="20" t="n">
        <v>0.3</v>
      </c>
      <c r="J209" s="16" t="str">
        <f aca="false">IF(H209="","",ROUND(H209*I209,2))</f>
        <v/>
      </c>
      <c r="K209" s="6"/>
    </row>
    <row r="210" customFormat="false" ht="15" hidden="false" customHeight="false" outlineLevel="0" collapsed="false">
      <c r="A210" s="13"/>
      <c r="B210" s="6"/>
      <c r="C210" s="6"/>
      <c r="D210" s="6"/>
      <c r="E210" s="6"/>
      <c r="F210" s="6"/>
      <c r="G210" s="6"/>
      <c r="H210" s="17" t="str">
        <f aca="false">IF(F210="","",F210+G210)</f>
        <v/>
      </c>
      <c r="I210" s="20" t="n">
        <v>0.3</v>
      </c>
      <c r="J210" s="16" t="str">
        <f aca="false">IF(H210="","",ROUND(H210*I210,2))</f>
        <v/>
      </c>
      <c r="K210" s="6"/>
    </row>
    <row r="211" customFormat="false" ht="15" hidden="false" customHeight="false" outlineLevel="0" collapsed="false">
      <c r="A211" s="13"/>
      <c r="B211" s="6"/>
      <c r="C211" s="6"/>
      <c r="D211" s="6"/>
      <c r="E211" s="6"/>
      <c r="F211" s="6"/>
      <c r="G211" s="6"/>
      <c r="H211" s="17" t="str">
        <f aca="false">IF(F211="","",F211+G211)</f>
        <v/>
      </c>
      <c r="I211" s="20" t="n">
        <v>0.3</v>
      </c>
      <c r="J211" s="16" t="str">
        <f aca="false">IF(H211="","",ROUND(H211*I211,2))</f>
        <v/>
      </c>
      <c r="K211" s="6"/>
    </row>
    <row r="212" customFormat="false" ht="15" hidden="false" customHeight="false" outlineLevel="0" collapsed="false">
      <c r="A212" s="13"/>
      <c r="B212" s="6"/>
      <c r="C212" s="6"/>
      <c r="D212" s="6"/>
      <c r="E212" s="6"/>
      <c r="F212" s="6"/>
      <c r="G212" s="6"/>
      <c r="H212" s="17" t="str">
        <f aca="false">IF(F212="","",F212+G212)</f>
        <v/>
      </c>
      <c r="I212" s="20" t="n">
        <v>0.3</v>
      </c>
      <c r="J212" s="16" t="str">
        <f aca="false">IF(H212="","",ROUND(H212*I212,2))</f>
        <v/>
      </c>
      <c r="K212" s="6"/>
    </row>
    <row r="213" customFormat="false" ht="15" hidden="false" customHeight="false" outlineLevel="0" collapsed="false">
      <c r="A213" s="13"/>
      <c r="B213" s="6"/>
      <c r="C213" s="6"/>
      <c r="D213" s="6"/>
      <c r="E213" s="6"/>
      <c r="F213" s="6"/>
      <c r="G213" s="6"/>
      <c r="H213" s="17" t="str">
        <f aca="false">IF(F213="","",F213+G213)</f>
        <v/>
      </c>
      <c r="I213" s="20" t="n">
        <v>0.3</v>
      </c>
      <c r="J213" s="16" t="str">
        <f aca="false">IF(H213="","",ROUND(H213*I213,2))</f>
        <v/>
      </c>
      <c r="K213" s="6"/>
    </row>
    <row r="214" customFormat="false" ht="15" hidden="false" customHeight="false" outlineLevel="0" collapsed="false">
      <c r="A214" s="13"/>
      <c r="B214" s="6"/>
      <c r="C214" s="6"/>
      <c r="D214" s="6"/>
      <c r="E214" s="6"/>
      <c r="F214" s="6"/>
      <c r="G214" s="6"/>
      <c r="H214" s="17" t="str">
        <f aca="false">IF(F214="","",F214+G214)</f>
        <v/>
      </c>
      <c r="I214" s="20" t="n">
        <v>0.3</v>
      </c>
      <c r="J214" s="16" t="str">
        <f aca="false">IF(H214="","",ROUND(H214*I214,2))</f>
        <v/>
      </c>
      <c r="K214" s="6"/>
    </row>
    <row r="215" customFormat="false" ht="15" hidden="false" customHeight="false" outlineLevel="0" collapsed="false">
      <c r="A215" s="13"/>
      <c r="B215" s="6"/>
      <c r="C215" s="6"/>
      <c r="D215" s="6"/>
      <c r="E215" s="6"/>
      <c r="F215" s="6"/>
      <c r="G215" s="6"/>
      <c r="H215" s="17" t="str">
        <f aca="false">IF(F215="","",F215+G215)</f>
        <v/>
      </c>
      <c r="I215" s="20" t="n">
        <v>0.3</v>
      </c>
      <c r="J215" s="16" t="str">
        <f aca="false">IF(H215="","",ROUND(H215*I215,2))</f>
        <v/>
      </c>
      <c r="K215" s="6"/>
    </row>
    <row r="216" customFormat="false" ht="15" hidden="false" customHeight="false" outlineLevel="0" collapsed="false">
      <c r="A216" s="13"/>
      <c r="B216" s="6"/>
      <c r="C216" s="6"/>
      <c r="D216" s="6"/>
      <c r="E216" s="6"/>
      <c r="F216" s="6"/>
      <c r="G216" s="6"/>
      <c r="H216" s="17" t="str">
        <f aca="false">IF(F216="","",F216+G216)</f>
        <v/>
      </c>
      <c r="I216" s="20" t="n">
        <v>0.3</v>
      </c>
      <c r="J216" s="16" t="str">
        <f aca="false">IF(H216="","",ROUND(H216*I216,2))</f>
        <v/>
      </c>
      <c r="K216" s="6"/>
    </row>
    <row r="217" customFormat="false" ht="15" hidden="false" customHeight="false" outlineLevel="0" collapsed="false">
      <c r="A217" s="13"/>
      <c r="B217" s="6"/>
      <c r="C217" s="6"/>
      <c r="D217" s="6"/>
      <c r="E217" s="6"/>
      <c r="F217" s="6"/>
      <c r="G217" s="6"/>
      <c r="H217" s="17" t="str">
        <f aca="false">IF(F217="","",F217+G217)</f>
        <v/>
      </c>
      <c r="I217" s="20" t="n">
        <v>0.3</v>
      </c>
      <c r="J217" s="16" t="str">
        <f aca="false">IF(H217="","",ROUND(H217*I217,2))</f>
        <v/>
      </c>
      <c r="K217" s="6"/>
    </row>
    <row r="218" customFormat="false" ht="15" hidden="false" customHeight="false" outlineLevel="0" collapsed="false">
      <c r="A218" s="13"/>
      <c r="B218" s="6"/>
      <c r="C218" s="6"/>
      <c r="D218" s="6"/>
      <c r="E218" s="6"/>
      <c r="F218" s="6"/>
      <c r="G218" s="6"/>
      <c r="H218" s="17" t="str">
        <f aca="false">IF(F218="","",F218+G218)</f>
        <v/>
      </c>
      <c r="I218" s="20" t="n">
        <v>0.3</v>
      </c>
      <c r="J218" s="16" t="str">
        <f aca="false">IF(H218="","",ROUND(H218*I218,2))</f>
        <v/>
      </c>
      <c r="K218" s="6"/>
    </row>
    <row r="219" customFormat="false" ht="15" hidden="false" customHeight="false" outlineLevel="0" collapsed="false">
      <c r="A219" s="13"/>
      <c r="B219" s="6"/>
      <c r="C219" s="6"/>
      <c r="D219" s="6"/>
      <c r="E219" s="6"/>
      <c r="F219" s="6"/>
      <c r="G219" s="6"/>
      <c r="H219" s="17" t="str">
        <f aca="false">IF(F219="","",F219+G219)</f>
        <v/>
      </c>
      <c r="I219" s="20" t="n">
        <v>0.3</v>
      </c>
      <c r="J219" s="16" t="str">
        <f aca="false">IF(H219="","",ROUND(H219*I219,2))</f>
        <v/>
      </c>
      <c r="K219" s="6"/>
    </row>
    <row r="220" customFormat="false" ht="15" hidden="false" customHeight="false" outlineLevel="0" collapsed="false">
      <c r="A220" s="13"/>
      <c r="B220" s="6"/>
      <c r="C220" s="6"/>
      <c r="D220" s="6"/>
      <c r="E220" s="6"/>
      <c r="F220" s="6"/>
      <c r="G220" s="6"/>
      <c r="H220" s="17" t="str">
        <f aca="false">IF(F220="","",F220+G220)</f>
        <v/>
      </c>
      <c r="I220" s="20" t="n">
        <v>0.3</v>
      </c>
      <c r="J220" s="16" t="str">
        <f aca="false">IF(H220="","",ROUND(H220*I220,2))</f>
        <v/>
      </c>
      <c r="K220" s="6"/>
    </row>
    <row r="221" customFormat="false" ht="15" hidden="false" customHeight="false" outlineLevel="0" collapsed="false">
      <c r="A221" s="13"/>
      <c r="B221" s="6"/>
      <c r="C221" s="6"/>
      <c r="D221" s="6"/>
      <c r="E221" s="6"/>
      <c r="F221" s="6"/>
      <c r="G221" s="6"/>
      <c r="H221" s="17" t="str">
        <f aca="false">IF(F221="","",F221+G221)</f>
        <v/>
      </c>
      <c r="I221" s="20" t="n">
        <v>0.3</v>
      </c>
      <c r="J221" s="16" t="str">
        <f aca="false">IF(H221="","",ROUND(H221*I221,2))</f>
        <v/>
      </c>
      <c r="K221" s="6"/>
    </row>
    <row r="222" customFormat="false" ht="15" hidden="false" customHeight="false" outlineLevel="0" collapsed="false">
      <c r="A222" s="13"/>
      <c r="B222" s="6"/>
      <c r="C222" s="6"/>
      <c r="D222" s="6"/>
      <c r="E222" s="6"/>
      <c r="F222" s="6"/>
      <c r="G222" s="6"/>
      <c r="H222" s="17" t="str">
        <f aca="false">IF(F222="","",F222+G222)</f>
        <v/>
      </c>
      <c r="I222" s="20" t="n">
        <v>0.3</v>
      </c>
      <c r="J222" s="16" t="str">
        <f aca="false">IF(H222="","",ROUND(H222*I222,2))</f>
        <v/>
      </c>
      <c r="K222" s="6"/>
    </row>
    <row r="223" customFormat="false" ht="15" hidden="false" customHeight="false" outlineLevel="0" collapsed="false">
      <c r="A223" s="13"/>
      <c r="B223" s="6"/>
      <c r="C223" s="6"/>
      <c r="D223" s="6"/>
      <c r="E223" s="6"/>
      <c r="F223" s="6"/>
      <c r="G223" s="6"/>
      <c r="H223" s="17" t="str">
        <f aca="false">IF(F223="","",F223+G223)</f>
        <v/>
      </c>
      <c r="I223" s="20" t="n">
        <v>0.3</v>
      </c>
      <c r="J223" s="16" t="str">
        <f aca="false">IF(H223="","",ROUND(H223*I223,2))</f>
        <v/>
      </c>
      <c r="K223" s="6"/>
    </row>
    <row r="224" customFormat="false" ht="15" hidden="false" customHeight="false" outlineLevel="0" collapsed="false">
      <c r="A224" s="13"/>
      <c r="B224" s="6"/>
      <c r="C224" s="6"/>
      <c r="D224" s="6"/>
      <c r="E224" s="6"/>
      <c r="F224" s="6"/>
      <c r="G224" s="6"/>
      <c r="H224" s="17" t="str">
        <f aca="false">IF(F224="","",F224+G224)</f>
        <v/>
      </c>
      <c r="I224" s="20" t="n">
        <v>0.3</v>
      </c>
      <c r="J224" s="16" t="str">
        <f aca="false">IF(H224="","",ROUND(H224*I224,2))</f>
        <v/>
      </c>
      <c r="K224" s="6"/>
    </row>
    <row r="225" customFormat="false" ht="15" hidden="false" customHeight="false" outlineLevel="0" collapsed="false">
      <c r="A225" s="13"/>
      <c r="B225" s="6"/>
      <c r="C225" s="6"/>
      <c r="D225" s="6"/>
      <c r="E225" s="6"/>
      <c r="F225" s="6"/>
      <c r="G225" s="6"/>
      <c r="H225" s="17" t="str">
        <f aca="false">IF(F225="","",F225+G225)</f>
        <v/>
      </c>
      <c r="I225" s="20" t="n">
        <v>0.3</v>
      </c>
      <c r="J225" s="16" t="str">
        <f aca="false">IF(H225="","",ROUND(H225*I225,2))</f>
        <v/>
      </c>
      <c r="K225" s="6"/>
    </row>
    <row r="226" customFormat="false" ht="15" hidden="false" customHeight="false" outlineLevel="0" collapsed="false">
      <c r="A226" s="13"/>
      <c r="B226" s="6"/>
      <c r="C226" s="6"/>
      <c r="D226" s="6"/>
      <c r="E226" s="6"/>
      <c r="F226" s="6"/>
      <c r="G226" s="6"/>
      <c r="H226" s="17" t="str">
        <f aca="false">IF(F226="","",F226+G226)</f>
        <v/>
      </c>
      <c r="I226" s="20" t="n">
        <v>0.3</v>
      </c>
      <c r="J226" s="16" t="str">
        <f aca="false">IF(H226="","",ROUND(H226*I226,2))</f>
        <v/>
      </c>
      <c r="K226" s="6"/>
    </row>
    <row r="227" customFormat="false" ht="15" hidden="false" customHeight="false" outlineLevel="0" collapsed="false">
      <c r="A227" s="13"/>
      <c r="B227" s="6"/>
      <c r="C227" s="6"/>
      <c r="D227" s="6"/>
      <c r="E227" s="6"/>
      <c r="F227" s="6"/>
      <c r="G227" s="6"/>
      <c r="H227" s="17" t="str">
        <f aca="false">IF(F227="","",F227+G227)</f>
        <v/>
      </c>
      <c r="I227" s="20" t="n">
        <v>0.3</v>
      </c>
      <c r="J227" s="16" t="str">
        <f aca="false">IF(H227="","",ROUND(H227*I227,2))</f>
        <v/>
      </c>
      <c r="K227" s="6"/>
    </row>
    <row r="228" customFormat="false" ht="15" hidden="false" customHeight="false" outlineLevel="0" collapsed="false">
      <c r="A228" s="13"/>
      <c r="B228" s="6"/>
      <c r="C228" s="6"/>
      <c r="D228" s="6"/>
      <c r="E228" s="6"/>
      <c r="F228" s="6"/>
      <c r="G228" s="6"/>
      <c r="H228" s="17" t="str">
        <f aca="false">IF(F228="","",F228+G228)</f>
        <v/>
      </c>
      <c r="I228" s="20" t="n">
        <v>0.3</v>
      </c>
      <c r="J228" s="16" t="str">
        <f aca="false">IF(H228="","",ROUND(H228*I228,2))</f>
        <v/>
      </c>
      <c r="K228" s="6"/>
    </row>
    <row r="229" customFormat="false" ht="15" hidden="false" customHeight="false" outlineLevel="0" collapsed="false">
      <c r="A229" s="13"/>
      <c r="B229" s="6"/>
      <c r="C229" s="6"/>
      <c r="D229" s="6"/>
      <c r="E229" s="6"/>
      <c r="F229" s="6"/>
      <c r="G229" s="6"/>
      <c r="H229" s="17" t="str">
        <f aca="false">IF(F229="","",F229+G229)</f>
        <v/>
      </c>
      <c r="I229" s="20" t="n">
        <v>0.3</v>
      </c>
      <c r="J229" s="16" t="str">
        <f aca="false">IF(H229="","",ROUND(H229*I229,2))</f>
        <v/>
      </c>
      <c r="K229" s="6"/>
    </row>
    <row r="230" customFormat="false" ht="15" hidden="false" customHeight="false" outlineLevel="0" collapsed="false">
      <c r="A230" s="13"/>
      <c r="B230" s="6"/>
      <c r="C230" s="6"/>
      <c r="D230" s="6"/>
      <c r="E230" s="6"/>
      <c r="F230" s="6"/>
      <c r="G230" s="6"/>
      <c r="H230" s="17" t="str">
        <f aca="false">IF(F230="","",F230+G230)</f>
        <v/>
      </c>
      <c r="I230" s="20" t="n">
        <v>0.3</v>
      </c>
      <c r="J230" s="16" t="str">
        <f aca="false">IF(H230="","",ROUND(H230*I230,2))</f>
        <v/>
      </c>
      <c r="K230" s="6"/>
    </row>
    <row r="231" customFormat="false" ht="15" hidden="false" customHeight="false" outlineLevel="0" collapsed="false">
      <c r="A231" s="13"/>
      <c r="B231" s="6"/>
      <c r="C231" s="6"/>
      <c r="D231" s="6"/>
      <c r="E231" s="6"/>
      <c r="F231" s="6"/>
      <c r="G231" s="6"/>
      <c r="H231" s="17" t="str">
        <f aca="false">IF(F231="","",F231+G231)</f>
        <v/>
      </c>
      <c r="I231" s="20" t="n">
        <v>0.3</v>
      </c>
      <c r="J231" s="16" t="str">
        <f aca="false">IF(H231="","",ROUND(H231*I231,2))</f>
        <v/>
      </c>
      <c r="K231" s="6"/>
    </row>
    <row r="232" customFormat="false" ht="15" hidden="false" customHeight="false" outlineLevel="0" collapsed="false">
      <c r="A232" s="13"/>
      <c r="B232" s="6"/>
      <c r="C232" s="6"/>
      <c r="D232" s="6"/>
      <c r="E232" s="6"/>
      <c r="F232" s="6"/>
      <c r="G232" s="6"/>
      <c r="H232" s="17" t="str">
        <f aca="false">IF(F232="","",F232+G232)</f>
        <v/>
      </c>
      <c r="I232" s="20" t="n">
        <v>0.3</v>
      </c>
      <c r="J232" s="16" t="str">
        <f aca="false">IF(H232="","",ROUND(H232*I232,2))</f>
        <v/>
      </c>
      <c r="K232" s="6"/>
    </row>
    <row r="233" customFormat="false" ht="15" hidden="false" customHeight="false" outlineLevel="0" collapsed="false">
      <c r="A233" s="13"/>
      <c r="B233" s="6"/>
      <c r="C233" s="6"/>
      <c r="D233" s="6"/>
      <c r="E233" s="6"/>
      <c r="F233" s="6"/>
      <c r="G233" s="6"/>
      <c r="H233" s="17" t="str">
        <f aca="false">IF(F233="","",F233+G233)</f>
        <v/>
      </c>
      <c r="I233" s="20" t="n">
        <v>0.3</v>
      </c>
      <c r="J233" s="16" t="str">
        <f aca="false">IF(H233="","",ROUND(H233*I233,2))</f>
        <v/>
      </c>
      <c r="K233" s="6"/>
    </row>
    <row r="234" customFormat="false" ht="15" hidden="false" customHeight="false" outlineLevel="0" collapsed="false">
      <c r="A234" s="13"/>
      <c r="B234" s="6"/>
      <c r="C234" s="6"/>
      <c r="D234" s="6"/>
      <c r="E234" s="6"/>
      <c r="F234" s="6"/>
      <c r="G234" s="6"/>
      <c r="H234" s="17" t="str">
        <f aca="false">IF(F234="","",F234+G234)</f>
        <v/>
      </c>
      <c r="I234" s="20" t="n">
        <v>0.3</v>
      </c>
      <c r="J234" s="16" t="str">
        <f aca="false">IF(H234="","",ROUND(H234*I234,2))</f>
        <v/>
      </c>
      <c r="K234" s="6"/>
    </row>
    <row r="235" customFormat="false" ht="15" hidden="false" customHeight="false" outlineLevel="0" collapsed="false">
      <c r="A235" s="13"/>
      <c r="B235" s="6"/>
      <c r="C235" s="6"/>
      <c r="D235" s="6"/>
      <c r="E235" s="6"/>
      <c r="F235" s="6"/>
      <c r="G235" s="6"/>
      <c r="H235" s="17" t="str">
        <f aca="false">IF(F235="","",F235+G235)</f>
        <v/>
      </c>
      <c r="I235" s="20" t="n">
        <v>0.3</v>
      </c>
      <c r="J235" s="16" t="str">
        <f aca="false">IF(H235="","",ROUND(H235*I235,2))</f>
        <v/>
      </c>
      <c r="K235" s="6"/>
    </row>
    <row r="236" customFormat="false" ht="15" hidden="false" customHeight="false" outlineLevel="0" collapsed="false">
      <c r="A236" s="13"/>
      <c r="B236" s="6"/>
      <c r="C236" s="6"/>
      <c r="D236" s="6"/>
      <c r="E236" s="6"/>
      <c r="F236" s="6"/>
      <c r="G236" s="6"/>
      <c r="H236" s="17" t="str">
        <f aca="false">IF(F236="","",F236+G236)</f>
        <v/>
      </c>
      <c r="I236" s="20" t="n">
        <v>0.3</v>
      </c>
      <c r="J236" s="16" t="str">
        <f aca="false">IF(H236="","",ROUND(H236*I236,2))</f>
        <v/>
      </c>
      <c r="K236" s="6"/>
    </row>
    <row r="237" customFormat="false" ht="15" hidden="false" customHeight="false" outlineLevel="0" collapsed="false">
      <c r="A237" s="13"/>
      <c r="B237" s="6"/>
      <c r="C237" s="6"/>
      <c r="D237" s="6"/>
      <c r="E237" s="6"/>
      <c r="F237" s="6"/>
      <c r="G237" s="6"/>
      <c r="H237" s="17" t="str">
        <f aca="false">IF(F237="","",F237+G237)</f>
        <v/>
      </c>
      <c r="I237" s="20" t="n">
        <v>0.3</v>
      </c>
      <c r="J237" s="16" t="str">
        <f aca="false">IF(H237="","",ROUND(H237*I237,2))</f>
        <v/>
      </c>
      <c r="K237" s="6"/>
    </row>
    <row r="238" customFormat="false" ht="15" hidden="false" customHeight="false" outlineLevel="0" collapsed="false">
      <c r="A238" s="13"/>
      <c r="B238" s="6"/>
      <c r="C238" s="6"/>
      <c r="D238" s="6"/>
      <c r="E238" s="6"/>
      <c r="F238" s="6"/>
      <c r="G238" s="6"/>
      <c r="H238" s="17" t="str">
        <f aca="false">IF(F238="","",F238+G238)</f>
        <v/>
      </c>
      <c r="I238" s="20" t="n">
        <v>0.3</v>
      </c>
      <c r="J238" s="16" t="str">
        <f aca="false">IF(H238="","",ROUND(H238*I238,2))</f>
        <v/>
      </c>
      <c r="K238" s="6"/>
    </row>
    <row r="239" customFormat="false" ht="15" hidden="false" customHeight="false" outlineLevel="0" collapsed="false">
      <c r="A239" s="13"/>
      <c r="B239" s="6"/>
      <c r="C239" s="6"/>
      <c r="D239" s="6"/>
      <c r="E239" s="6"/>
      <c r="F239" s="6"/>
      <c r="G239" s="6"/>
      <c r="H239" s="17" t="str">
        <f aca="false">IF(F239="","",F239+G239)</f>
        <v/>
      </c>
      <c r="I239" s="20" t="n">
        <v>0.3</v>
      </c>
      <c r="J239" s="16" t="str">
        <f aca="false">IF(H239="","",ROUND(H239*I239,2))</f>
        <v/>
      </c>
      <c r="K239" s="6"/>
    </row>
    <row r="240" customFormat="false" ht="15" hidden="false" customHeight="false" outlineLevel="0" collapsed="false">
      <c r="A240" s="13"/>
      <c r="B240" s="6"/>
      <c r="C240" s="6"/>
      <c r="D240" s="6"/>
      <c r="E240" s="6"/>
      <c r="F240" s="6"/>
      <c r="G240" s="6"/>
      <c r="H240" s="17" t="str">
        <f aca="false">IF(F240="","",F240+G240)</f>
        <v/>
      </c>
      <c r="I240" s="20" t="n">
        <v>0.3</v>
      </c>
      <c r="J240" s="16" t="str">
        <f aca="false">IF(H240="","",ROUND(H240*I240,2))</f>
        <v/>
      </c>
      <c r="K240" s="6"/>
    </row>
    <row r="241" customFormat="false" ht="15" hidden="false" customHeight="false" outlineLevel="0" collapsed="false">
      <c r="A241" s="13"/>
      <c r="B241" s="6"/>
      <c r="C241" s="6"/>
      <c r="D241" s="6"/>
      <c r="E241" s="6"/>
      <c r="F241" s="6"/>
      <c r="G241" s="6"/>
      <c r="H241" s="17" t="str">
        <f aca="false">IF(F241="","",F241+G241)</f>
        <v/>
      </c>
      <c r="I241" s="20" t="n">
        <v>0.3</v>
      </c>
      <c r="J241" s="16" t="str">
        <f aca="false">IF(H241="","",ROUND(H241*I241,2))</f>
        <v/>
      </c>
      <c r="K241" s="6"/>
    </row>
    <row r="242" customFormat="false" ht="15" hidden="false" customHeight="false" outlineLevel="0" collapsed="false">
      <c r="A242" s="13"/>
      <c r="B242" s="6"/>
      <c r="C242" s="6"/>
      <c r="D242" s="6"/>
      <c r="E242" s="6"/>
      <c r="F242" s="6"/>
      <c r="G242" s="6"/>
      <c r="H242" s="17" t="str">
        <f aca="false">IF(F242="","",F242+G242)</f>
        <v/>
      </c>
      <c r="I242" s="20" t="n">
        <v>0.3</v>
      </c>
      <c r="J242" s="16" t="str">
        <f aca="false">IF(H242="","",ROUND(H242*I242,2))</f>
        <v/>
      </c>
      <c r="K242" s="6"/>
    </row>
    <row r="243" customFormat="false" ht="15" hidden="false" customHeight="false" outlineLevel="0" collapsed="false">
      <c r="A243" s="13"/>
      <c r="B243" s="6"/>
      <c r="C243" s="6"/>
      <c r="D243" s="6"/>
      <c r="E243" s="6"/>
      <c r="F243" s="6"/>
      <c r="G243" s="6"/>
      <c r="H243" s="17" t="str">
        <f aca="false">IF(F243="","",F243+G243)</f>
        <v/>
      </c>
      <c r="I243" s="20" t="n">
        <v>0.3</v>
      </c>
      <c r="J243" s="16" t="str">
        <f aca="false">IF(H243="","",ROUND(H243*I243,2))</f>
        <v/>
      </c>
      <c r="K243" s="6"/>
    </row>
    <row r="244" customFormat="false" ht="15" hidden="false" customHeight="false" outlineLevel="0" collapsed="false">
      <c r="A244" s="13"/>
      <c r="B244" s="6"/>
      <c r="C244" s="6"/>
      <c r="D244" s="6"/>
      <c r="E244" s="6"/>
      <c r="F244" s="6"/>
      <c r="G244" s="6"/>
      <c r="H244" s="17" t="str">
        <f aca="false">IF(F244="","",F244+G244)</f>
        <v/>
      </c>
      <c r="I244" s="20" t="n">
        <v>0.3</v>
      </c>
      <c r="J244" s="16" t="str">
        <f aca="false">IF(H244="","",ROUND(H244*I244,2))</f>
        <v/>
      </c>
      <c r="K244" s="6"/>
    </row>
    <row r="245" customFormat="false" ht="15" hidden="false" customHeight="false" outlineLevel="0" collapsed="false">
      <c r="A245" s="13"/>
      <c r="B245" s="6"/>
      <c r="C245" s="6"/>
      <c r="D245" s="6"/>
      <c r="E245" s="6"/>
      <c r="F245" s="6"/>
      <c r="G245" s="6"/>
      <c r="H245" s="17" t="str">
        <f aca="false">IF(F245="","",F245+G245)</f>
        <v/>
      </c>
      <c r="I245" s="20" t="n">
        <v>0.3</v>
      </c>
      <c r="J245" s="16" t="str">
        <f aca="false">IF(H245="","",ROUND(H245*I245,2))</f>
        <v/>
      </c>
      <c r="K245" s="6"/>
    </row>
    <row r="246" customFormat="false" ht="15" hidden="false" customHeight="false" outlineLevel="0" collapsed="false">
      <c r="A246" s="13"/>
      <c r="B246" s="6"/>
      <c r="C246" s="6"/>
      <c r="D246" s="6"/>
      <c r="E246" s="6"/>
      <c r="F246" s="6"/>
      <c r="G246" s="6"/>
      <c r="H246" s="17" t="str">
        <f aca="false">IF(F246="","",F246+G246)</f>
        <v/>
      </c>
      <c r="I246" s="20" t="n">
        <v>0.3</v>
      </c>
      <c r="J246" s="16" t="str">
        <f aca="false">IF(H246="","",ROUND(H246*I246,2))</f>
        <v/>
      </c>
      <c r="K246" s="6"/>
    </row>
    <row r="247" customFormat="false" ht="15" hidden="false" customHeight="false" outlineLevel="0" collapsed="false">
      <c r="A247" s="13"/>
      <c r="B247" s="6"/>
      <c r="C247" s="6"/>
      <c r="D247" s="6"/>
      <c r="E247" s="6"/>
      <c r="F247" s="6"/>
      <c r="G247" s="6"/>
      <c r="H247" s="17" t="str">
        <f aca="false">IF(F247="","",F247+G247)</f>
        <v/>
      </c>
      <c r="I247" s="20" t="n">
        <v>0.3</v>
      </c>
      <c r="J247" s="16" t="str">
        <f aca="false">IF(H247="","",ROUND(H247*I247,2))</f>
        <v/>
      </c>
      <c r="K247" s="6"/>
    </row>
    <row r="248" customFormat="false" ht="15" hidden="false" customHeight="false" outlineLevel="0" collapsed="false">
      <c r="A248" s="13"/>
      <c r="B248" s="6"/>
      <c r="C248" s="6"/>
      <c r="D248" s="6"/>
      <c r="E248" s="6"/>
      <c r="F248" s="6"/>
      <c r="G248" s="6"/>
      <c r="H248" s="17" t="str">
        <f aca="false">IF(F248="","",F248+G248)</f>
        <v/>
      </c>
      <c r="I248" s="20" t="n">
        <v>0.3</v>
      </c>
      <c r="J248" s="16" t="str">
        <f aca="false">IF(H248="","",ROUND(H248*I248,2))</f>
        <v/>
      </c>
      <c r="K248" s="6"/>
    </row>
    <row r="249" customFormat="false" ht="15" hidden="false" customHeight="false" outlineLevel="0" collapsed="false">
      <c r="A249" s="13"/>
      <c r="B249" s="6"/>
      <c r="C249" s="6"/>
      <c r="D249" s="6"/>
      <c r="E249" s="6"/>
      <c r="F249" s="6"/>
      <c r="G249" s="6"/>
      <c r="H249" s="17" t="str">
        <f aca="false">IF(F249="","",F249+G249)</f>
        <v/>
      </c>
      <c r="I249" s="20" t="n">
        <v>0.3</v>
      </c>
      <c r="J249" s="16" t="str">
        <f aca="false">IF(H249="","",ROUND(H249*I249,2))</f>
        <v/>
      </c>
      <c r="K249" s="6"/>
    </row>
    <row r="250" customFormat="false" ht="15" hidden="false" customHeight="false" outlineLevel="0" collapsed="false">
      <c r="A250" s="13"/>
      <c r="B250" s="6"/>
      <c r="C250" s="6"/>
      <c r="D250" s="6"/>
      <c r="E250" s="6"/>
      <c r="F250" s="6"/>
      <c r="G250" s="6"/>
      <c r="H250" s="17" t="str">
        <f aca="false">IF(F250="","",F250+G250)</f>
        <v/>
      </c>
      <c r="I250" s="20" t="n">
        <v>0.3</v>
      </c>
      <c r="J250" s="16" t="str">
        <f aca="false">IF(H250="","",ROUND(H250*I250,2))</f>
        <v/>
      </c>
      <c r="K250" s="6"/>
    </row>
    <row r="251" customFormat="false" ht="15" hidden="false" customHeight="false" outlineLevel="0" collapsed="false">
      <c r="A251" s="13"/>
      <c r="B251" s="6"/>
      <c r="C251" s="6"/>
      <c r="D251" s="6"/>
      <c r="E251" s="6"/>
      <c r="F251" s="6"/>
      <c r="G251" s="6"/>
      <c r="H251" s="17" t="str">
        <f aca="false">IF(F251="","",F251+G251)</f>
        <v/>
      </c>
      <c r="I251" s="20" t="n">
        <v>0.3</v>
      </c>
      <c r="J251" s="16" t="str">
        <f aca="false">IF(H251="","",ROUND(H251*I251,2))</f>
        <v/>
      </c>
      <c r="K251" s="6"/>
    </row>
    <row r="252" customFormat="false" ht="15" hidden="false" customHeight="false" outlineLevel="0" collapsed="false">
      <c r="A252" s="13"/>
      <c r="B252" s="6"/>
      <c r="C252" s="6"/>
      <c r="D252" s="6"/>
      <c r="E252" s="6"/>
      <c r="F252" s="6"/>
      <c r="G252" s="6"/>
      <c r="H252" s="17" t="str">
        <f aca="false">IF(F252="","",F252+G252)</f>
        <v/>
      </c>
      <c r="I252" s="20" t="n">
        <v>0.3</v>
      </c>
      <c r="J252" s="16" t="str">
        <f aca="false">IF(H252="","",ROUND(H252*I252,2))</f>
        <v/>
      </c>
      <c r="K252" s="6"/>
    </row>
    <row r="253" customFormat="false" ht="15" hidden="false" customHeight="false" outlineLevel="0" collapsed="false">
      <c r="A253" s="13"/>
      <c r="B253" s="6"/>
      <c r="C253" s="6"/>
      <c r="D253" s="6"/>
      <c r="E253" s="6"/>
      <c r="F253" s="6"/>
      <c r="G253" s="6"/>
      <c r="H253" s="17" t="str">
        <f aca="false">IF(F253="","",F253+G253)</f>
        <v/>
      </c>
      <c r="I253" s="20" t="n">
        <v>0.3</v>
      </c>
      <c r="J253" s="16" t="str">
        <f aca="false">IF(H253="","",ROUND(H253*I253,2))</f>
        <v/>
      </c>
      <c r="K253" s="6"/>
    </row>
    <row r="254" customFormat="false" ht="15" hidden="false" customHeight="false" outlineLevel="0" collapsed="false">
      <c r="A254" s="13"/>
      <c r="B254" s="6"/>
      <c r="C254" s="6"/>
      <c r="D254" s="6"/>
      <c r="E254" s="6"/>
      <c r="F254" s="6"/>
      <c r="G254" s="6"/>
      <c r="H254" s="17" t="str">
        <f aca="false">IF(F254="","",F254+G254)</f>
        <v/>
      </c>
      <c r="I254" s="20" t="n">
        <v>0.3</v>
      </c>
      <c r="J254" s="16" t="str">
        <f aca="false">IF(H254="","",ROUND(H254*I254,2))</f>
        <v/>
      </c>
      <c r="K25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2026-09-17T14:27:58Z</dcterms:created>
  <dc:creator>openpyxl</dc:creator>
  <dc:description/>
  <dc:language>en-US</dc:language>
  <cp:lastModifiedBy/>
  <dcterms:modified xsi:type="dcterms:W3CDTF">2026-09-17T14:27:58Z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